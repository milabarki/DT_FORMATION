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atatiltfr-my.sharepoint.com/personal/fabien_sans_datatilt_fr/Documents/COALLIA/Projet/"/>
    </mc:Choice>
  </mc:AlternateContent>
  <xr:revisionPtr revIDLastSave="0" documentId="8_{C5B552DC-9F53-4273-A008-70873A21BE90}" xr6:coauthVersionLast="47" xr6:coauthVersionMax="47" xr10:uidLastSave="{00000000-0000-0000-0000-000000000000}"/>
  <bookViews>
    <workbookView showSheetTabs="0" xWindow="-120" yWindow="-120" windowWidth="29040" windowHeight="17520" tabRatio="789" firstSheet="1" activeTab="1" xr2:uid="{DAB87BB3-5369-442F-B9AA-390EB9190290}"/>
  </bookViews>
  <sheets>
    <sheet name="Cognos_Office_Connection_Cache" sheetId="13" state="veryHidden" r:id="rId1"/>
    <sheet name="Accueil" sheetId="14" r:id="rId2"/>
    <sheet name="CRF" sheetId="3" r:id="rId3"/>
  </sheets>
  <externalReferences>
    <externalReference r:id="rId4"/>
  </externalReferences>
  <definedNames>
    <definedName name="_C1E1">#REF!</definedName>
    <definedName name="_C1E3">#REF!</definedName>
    <definedName name="_C2E1">#REF!</definedName>
    <definedName name="_C2E3">#REF!</definedName>
    <definedName name="_C3E1">#REF!</definedName>
    <definedName name="_C3E3">#REF!</definedName>
    <definedName name="_Order1" hidden="1">0</definedName>
    <definedName name="_Order2" hidden="1">0</definedName>
    <definedName name="_xleta.N" hidden="1">#NAME?</definedName>
    <definedName name="aaaa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aaa_1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aaa_1_1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aaa_1_1_1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aaa_1_1_2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aaa_1_2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aaa_1_3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aaa_2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aaa_2_1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aaa_2_2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aaa_3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aaa_4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confb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confb_1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confb_1_1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confb_1_1_1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confb_1_1_2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confb_1_2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confb_1_3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confb_2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confb_2_1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confb_2_2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confb_3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confb_4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confirmer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confirmer_1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confirmer_1_1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confirmer_1_1_1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confirmer_1_1_2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confirmer_1_2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confirmer_1_3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confirmer_2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confirmer_2_1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confirmer_2_2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confirmer_3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confirmer_4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confirmer2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confirmer2_1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confirmer2_1_1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confirmer2_1_1_1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confirmer2_1_1_2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confirmer2_1_2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confirmer2_1_3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confirmer2_2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confirmer2_2_1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confirmer2_2_2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confirmer2_3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confirmer2_4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confirmer3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confirmer3_1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confirmer3_1_1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confirmer3_1_1_1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confirmer3_1_1_2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confirmer3_1_2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confirmer3_1_3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confirmer3_2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confirmer3_2_1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confirmer3_2_2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confirmer3_3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confirmer3_4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ctivite">#REF!</definedName>
    <definedName name="AZERTY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ZERTY_1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ZERTY_1_1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ZERTY_1_1_1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ZERTY_1_1_2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ZERTY_1_2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ZERTY_1_3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ZERTY_2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ZERTY_2_1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ZERTY_2_2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ZERTY_3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AZERTY_4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bbbb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bbbb_1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bbbb_1_1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bbbb_1_1_1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bbbb_1_1_2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bbbb_1_2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bbbb_1_3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bbbb_2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bbbb_2_1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bbbb_2_2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bbbb_3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bbbb_4" hidden="1">{"AINTRO",#N/A,TRUE,"A";"TOT",#N/A,TRUE,"TOT";#N/A,#N/A,TRUE,"CONSOEXP";"RATIOEXP",#N/A,TRUE,"RATIOS";#N/A,#N/A,TRUE,"EXPACT";"AVTE",#N/A,TRUE,"A";#N/A,#N/A,TRUE,"VTE";"EVteNf",#N/A,TRUE,"VteNF";"EVteOcc",#N/A,TRUE,"VteOCC";"ASAV",#N/A,TRUE,"A";"EMKA",#N/A,TRUE,"MKA";"ESav2",#N/A,TRUE,"Sav2";"SAV",#N/A,TRUE,"SAV";"SAVPR",#N/A,TRUE,"SAV";"ADVT",#N/A,TRUE,"A";#N/A,#N/A,TRUE,"DVT";"ADAV",#N/A,TRUE,"A";#N/A,#N/A,TRUE,"DAV";"AFRX",#N/A,TRUE,"A";"EFRX",#N/A,TRUE,"FRX";"EGAR",#N/A,TRUE,"GAR";#N/A,#N/A,TRUE,"GarTyp";"AHEX",#N/A,TRUE,"A";#N/A,#N/A,TRUE,"HEX";"AFIL",#N/A,TRUE,"A";"LOC1",#N/A,TRUE,"LOC";"LOC2",#N/A,TRUE,"LOC";"LOC3",#N/A,TRUE,"LOC";"AMKV",#N/A,TRUE,"A";#N/A,#N/A,TRUE,"MKV";"AANNEXE",#N/A,TRUE,"A";"TOTCES",#N/A,TRUE,"TOT";"EFRXAFDPR",#N/A,TRUE,"FRX";"EFRXREFACT",#N/A,TRUE,"FRX";#N/A,#N/A,TRUE,"VteZone"}</definedName>
    <definedName name="CA">#REF!</definedName>
    <definedName name="cafe_validation_temp" hidden="1">Cognos_Office_Connection_Cache!$B$2:$B$1153</definedName>
    <definedName name="d">#REF!</definedName>
    <definedName name="DATABASE">#REF!</definedName>
    <definedName name="E3_C1E3">#REF!</definedName>
    <definedName name="ENTITE">#REF!</definedName>
    <definedName name="fre" hidden="1">{"PC1EXPGENA",#N/A,TRUE,"A";"PC1CONSOEXP",#N/A,TRUE,"CONSOEXP";"PC1TOTEXPBMTP",#N/A,TRUE,"TOT";"PC1LOCEXPLOC",#N/A,TRUE,"LOC";"PC1TOTVTEA",#N/A,TRUE,"A";"PC1VTE",#N/A,TRUE,"VTE";"PC1VTENF",#N/A,TRUE,"VteNF";"PC1VTEOCC",#N/A,TRUE,"VteOCC";"PC1DVAV",#N/A,TRUE,"DVA";"PC1ANNMKVA",#N/A,TRUE,"A";"PC1MKV",#N/A,TRUE,"MKV";"PC1TOTSAVA",#N/A,TRUE,"A";"PC1MKA",#N/A,TRUE,"MKA";"PC1SAV",#N/A,TRUE,"SAV";"PC1SAV2",#N/A,TRUE,"Sav2";"PC1DVAA",#N/A,TRUE,"DVA";"PC1TOTFRAISA",#N/A,TRUE,"A";"PC1FRXFRAIS",#N/A,TRUE,"FRX";"PC1GAR",#N/A,TRUE,"GAR";"PC1ACTLOCA",#N/A,TRUE,"A";"PC1LOCACTLOCECO",#N/A,TRUE,"LOC";"PC1ACTAUTRETERA",#N/A,TRUE,"A";"PC1ACTIVAT1",#N/A,TRUE,"ActivAT";"PC1ACTIVAT2",#N/A,TRUE,"ActivAT";"PC1ACTIVAT3",#N/A,TRUE,"ActivAT";"PC1HEXA",#N/A,TRUE,"A";"PC1HEX",#N/A,TRUE,"HEX";"PC1BILANA",#N/A,TRUE,"A";"PC1CONSOBIL",#N/A,TRUE,"CONSOBIL";"PC1BILAN",#N/A,TRUE,"BILAN";"PC1BILLOC",#N/A,TRUE,"BILLOC";"PC1DETACTA",#N/A,TRUE,"A";"PC1BILACTIMMO",#N/A,TRUE,"BilAct";"PC1BILACT",#N/A,TRUE,"BilAct";"PC1DETPASSA",#N/A,TRUE,"A";"PC1BILPAS",#N/A,TRUE,"BilPas";"PC1EFFECTIFA",#N/A,TRUE,"A";"PC1EFFECTIF",#N/A,TRUE,"EFFECTIF"}</definedName>
    <definedName name="fre_1" hidden="1">{"PC1EXPGENA",#N/A,TRUE,"A";"PC1CONSOEXP",#N/A,TRUE,"CONSOEXP";"PC1TOTEXPBMTP",#N/A,TRUE,"TOT";"PC1LOCEXPLOC",#N/A,TRUE,"LOC";"PC1TOTVTEA",#N/A,TRUE,"A";"PC1VTE",#N/A,TRUE,"VTE";"PC1VTENF",#N/A,TRUE,"VteNF";"PC1VTEOCC",#N/A,TRUE,"VteOCC";"PC1DVAV",#N/A,TRUE,"DVA";"PC1ANNMKVA",#N/A,TRUE,"A";"PC1MKV",#N/A,TRUE,"MKV";"PC1TOTSAVA",#N/A,TRUE,"A";"PC1MKA",#N/A,TRUE,"MKA";"PC1SAV",#N/A,TRUE,"SAV";"PC1SAV2",#N/A,TRUE,"Sav2";"PC1DVAA",#N/A,TRUE,"DVA";"PC1TOTFRAISA",#N/A,TRUE,"A";"PC1FRXFRAIS",#N/A,TRUE,"FRX";"PC1GAR",#N/A,TRUE,"GAR";"PC1ACTLOCA",#N/A,TRUE,"A";"PC1LOCACTLOCECO",#N/A,TRUE,"LOC";"PC1ACTAUTRETERA",#N/A,TRUE,"A";"PC1ACTIVAT1",#N/A,TRUE,"ActivAT";"PC1ACTIVAT2",#N/A,TRUE,"ActivAT";"PC1ACTIVAT3",#N/A,TRUE,"ActivAT";"PC1HEXA",#N/A,TRUE,"A";"PC1HEX",#N/A,TRUE,"HEX";"PC1BILANA",#N/A,TRUE,"A";"PC1CONSOBIL",#N/A,TRUE,"CONSOBIL";"PC1BILAN",#N/A,TRUE,"BILAN";"PC1BILLOC",#N/A,TRUE,"BILLOC";"PC1DETACTA",#N/A,TRUE,"A";"PC1BILACTIMMO",#N/A,TRUE,"BilAct";"PC1BILACT",#N/A,TRUE,"BilAct";"PC1DETPASSA",#N/A,TRUE,"A";"PC1BILPAS",#N/A,TRUE,"BilPas";"PC1EFFECTIFA",#N/A,TRUE,"A";"PC1EFFECTIF",#N/A,TRUE,"EFFECTIF"}</definedName>
    <definedName name="fre_1_1" hidden="1">{"PC1EXPGENA",#N/A,TRUE,"A";"PC1CONSOEXP",#N/A,TRUE,"CONSOEXP";"PC1TOTEXPBMTP",#N/A,TRUE,"TOT";"PC1LOCEXPLOC",#N/A,TRUE,"LOC";"PC1TOTVTEA",#N/A,TRUE,"A";"PC1VTE",#N/A,TRUE,"VTE";"PC1VTENF",#N/A,TRUE,"VteNF";"PC1VTEOCC",#N/A,TRUE,"VteOCC";"PC1DVAV",#N/A,TRUE,"DVA";"PC1ANNMKVA",#N/A,TRUE,"A";"PC1MKV",#N/A,TRUE,"MKV";"PC1TOTSAVA",#N/A,TRUE,"A";"PC1MKA",#N/A,TRUE,"MKA";"PC1SAV",#N/A,TRUE,"SAV";"PC1SAV2",#N/A,TRUE,"Sav2";"PC1DVAA",#N/A,TRUE,"DVA";"PC1TOTFRAISA",#N/A,TRUE,"A";"PC1FRXFRAIS",#N/A,TRUE,"FRX";"PC1GAR",#N/A,TRUE,"GAR";"PC1ACTLOCA",#N/A,TRUE,"A";"PC1LOCACTLOCECO",#N/A,TRUE,"LOC";"PC1ACTAUTRETERA",#N/A,TRUE,"A";"PC1ACTIVAT1",#N/A,TRUE,"ActivAT";"PC1ACTIVAT2",#N/A,TRUE,"ActivAT";"PC1ACTIVAT3",#N/A,TRUE,"ActivAT";"PC1HEXA",#N/A,TRUE,"A";"PC1HEX",#N/A,TRUE,"HEX";"PC1BILANA",#N/A,TRUE,"A";"PC1CONSOBIL",#N/A,TRUE,"CONSOBIL";"PC1BILAN",#N/A,TRUE,"BILAN";"PC1BILLOC",#N/A,TRUE,"BILLOC";"PC1DETACTA",#N/A,TRUE,"A";"PC1BILACTIMMO",#N/A,TRUE,"BilAct";"PC1BILACT",#N/A,TRUE,"BilAct";"PC1DETPASSA",#N/A,TRUE,"A";"PC1BILPAS",#N/A,TRUE,"BilPas";"PC1EFFECTIFA",#N/A,TRUE,"A";"PC1EFFECTIF",#N/A,TRUE,"EFFECTIF"}</definedName>
    <definedName name="fre_1_1_1" hidden="1">{"PC1EXPGENA",#N/A,TRUE,"A";"PC1CONSOEXP",#N/A,TRUE,"CONSOEXP";"PC1TOTEXPBMTP",#N/A,TRUE,"TOT";"PC1LOCEXPLOC",#N/A,TRUE,"LOC";"PC1TOTVTEA",#N/A,TRUE,"A";"PC1VTE",#N/A,TRUE,"VTE";"PC1VTENF",#N/A,TRUE,"VteNF";"PC1VTEOCC",#N/A,TRUE,"VteOCC";"PC1DVAV",#N/A,TRUE,"DVA";"PC1ANNMKVA",#N/A,TRUE,"A";"PC1MKV",#N/A,TRUE,"MKV";"PC1TOTSAVA",#N/A,TRUE,"A";"PC1MKA",#N/A,TRUE,"MKA";"PC1SAV",#N/A,TRUE,"SAV";"PC1SAV2",#N/A,TRUE,"Sav2";"PC1DVAA",#N/A,TRUE,"DVA";"PC1TOTFRAISA",#N/A,TRUE,"A";"PC1FRXFRAIS",#N/A,TRUE,"FRX";"PC1GAR",#N/A,TRUE,"GAR";"PC1ACTLOCA",#N/A,TRUE,"A";"PC1LOCACTLOCECO",#N/A,TRUE,"LOC";"PC1ACTAUTRETERA",#N/A,TRUE,"A";"PC1ACTIVAT1",#N/A,TRUE,"ActivAT";"PC1ACTIVAT2",#N/A,TRUE,"ActivAT";"PC1ACTIVAT3",#N/A,TRUE,"ActivAT";"PC1HEXA",#N/A,TRUE,"A";"PC1HEX",#N/A,TRUE,"HEX";"PC1BILANA",#N/A,TRUE,"A";"PC1CONSOBIL",#N/A,TRUE,"CONSOBIL";"PC1BILAN",#N/A,TRUE,"BILAN";"PC1BILLOC",#N/A,TRUE,"BILLOC";"PC1DETACTA",#N/A,TRUE,"A";"PC1BILACTIMMO",#N/A,TRUE,"BilAct";"PC1BILACT",#N/A,TRUE,"BilAct";"PC1DETPASSA",#N/A,TRUE,"A";"PC1BILPAS",#N/A,TRUE,"BilPas";"PC1EFFECTIFA",#N/A,TRUE,"A";"PC1EFFECTIF",#N/A,TRUE,"EFFECTIF"}</definedName>
    <definedName name="fre_1_1_2" hidden="1">{"PC1EXPGENA",#N/A,TRUE,"A";"PC1CONSOEXP",#N/A,TRUE,"CONSOEXP";"PC1TOTEXPBMTP",#N/A,TRUE,"TOT";"PC1LOCEXPLOC",#N/A,TRUE,"LOC";"PC1TOTVTEA",#N/A,TRUE,"A";"PC1VTE",#N/A,TRUE,"VTE";"PC1VTENF",#N/A,TRUE,"VteNF";"PC1VTEOCC",#N/A,TRUE,"VteOCC";"PC1DVAV",#N/A,TRUE,"DVA";"PC1ANNMKVA",#N/A,TRUE,"A";"PC1MKV",#N/A,TRUE,"MKV";"PC1TOTSAVA",#N/A,TRUE,"A";"PC1MKA",#N/A,TRUE,"MKA";"PC1SAV",#N/A,TRUE,"SAV";"PC1SAV2",#N/A,TRUE,"Sav2";"PC1DVAA",#N/A,TRUE,"DVA";"PC1TOTFRAISA",#N/A,TRUE,"A";"PC1FRXFRAIS",#N/A,TRUE,"FRX";"PC1GAR",#N/A,TRUE,"GAR";"PC1ACTLOCA",#N/A,TRUE,"A";"PC1LOCACTLOCECO",#N/A,TRUE,"LOC";"PC1ACTAUTRETERA",#N/A,TRUE,"A";"PC1ACTIVAT1",#N/A,TRUE,"ActivAT";"PC1ACTIVAT2",#N/A,TRUE,"ActivAT";"PC1ACTIVAT3",#N/A,TRUE,"ActivAT";"PC1HEXA",#N/A,TRUE,"A";"PC1HEX",#N/A,TRUE,"HEX";"PC1BILANA",#N/A,TRUE,"A";"PC1CONSOBIL",#N/A,TRUE,"CONSOBIL";"PC1BILAN",#N/A,TRUE,"BILAN";"PC1BILLOC",#N/A,TRUE,"BILLOC";"PC1DETACTA",#N/A,TRUE,"A";"PC1BILACTIMMO",#N/A,TRUE,"BilAct";"PC1BILACT",#N/A,TRUE,"BilAct";"PC1DETPASSA",#N/A,TRUE,"A";"PC1BILPAS",#N/A,TRUE,"BilPas";"PC1EFFECTIFA",#N/A,TRUE,"A";"PC1EFFECTIF",#N/A,TRUE,"EFFECTIF"}</definedName>
    <definedName name="fre_1_2" hidden="1">{"PC1EXPGENA",#N/A,TRUE,"A";"PC1CONSOEXP",#N/A,TRUE,"CONSOEXP";"PC1TOTEXPBMTP",#N/A,TRUE,"TOT";"PC1LOCEXPLOC",#N/A,TRUE,"LOC";"PC1TOTVTEA",#N/A,TRUE,"A";"PC1VTE",#N/A,TRUE,"VTE";"PC1VTENF",#N/A,TRUE,"VteNF";"PC1VTEOCC",#N/A,TRUE,"VteOCC";"PC1DVAV",#N/A,TRUE,"DVA";"PC1ANNMKVA",#N/A,TRUE,"A";"PC1MKV",#N/A,TRUE,"MKV";"PC1TOTSAVA",#N/A,TRUE,"A";"PC1MKA",#N/A,TRUE,"MKA";"PC1SAV",#N/A,TRUE,"SAV";"PC1SAV2",#N/A,TRUE,"Sav2";"PC1DVAA",#N/A,TRUE,"DVA";"PC1TOTFRAISA",#N/A,TRUE,"A";"PC1FRXFRAIS",#N/A,TRUE,"FRX";"PC1GAR",#N/A,TRUE,"GAR";"PC1ACTLOCA",#N/A,TRUE,"A";"PC1LOCACTLOCECO",#N/A,TRUE,"LOC";"PC1ACTAUTRETERA",#N/A,TRUE,"A";"PC1ACTIVAT1",#N/A,TRUE,"ActivAT";"PC1ACTIVAT2",#N/A,TRUE,"ActivAT";"PC1ACTIVAT3",#N/A,TRUE,"ActivAT";"PC1HEXA",#N/A,TRUE,"A";"PC1HEX",#N/A,TRUE,"HEX";"PC1BILANA",#N/A,TRUE,"A";"PC1CONSOBIL",#N/A,TRUE,"CONSOBIL";"PC1BILAN",#N/A,TRUE,"BILAN";"PC1BILLOC",#N/A,TRUE,"BILLOC";"PC1DETACTA",#N/A,TRUE,"A";"PC1BILACTIMMO",#N/A,TRUE,"BilAct";"PC1BILACT",#N/A,TRUE,"BilAct";"PC1DETPASSA",#N/A,TRUE,"A";"PC1BILPAS",#N/A,TRUE,"BilPas";"PC1EFFECTIFA",#N/A,TRUE,"A";"PC1EFFECTIF",#N/A,TRUE,"EFFECTIF"}</definedName>
    <definedName name="fre_1_3" hidden="1">{"PC1EXPGENA",#N/A,TRUE,"A";"PC1CONSOEXP",#N/A,TRUE,"CONSOEXP";"PC1TOTEXPBMTP",#N/A,TRUE,"TOT";"PC1LOCEXPLOC",#N/A,TRUE,"LOC";"PC1TOTVTEA",#N/A,TRUE,"A";"PC1VTE",#N/A,TRUE,"VTE";"PC1VTENF",#N/A,TRUE,"VteNF";"PC1VTEOCC",#N/A,TRUE,"VteOCC";"PC1DVAV",#N/A,TRUE,"DVA";"PC1ANNMKVA",#N/A,TRUE,"A";"PC1MKV",#N/A,TRUE,"MKV";"PC1TOTSAVA",#N/A,TRUE,"A";"PC1MKA",#N/A,TRUE,"MKA";"PC1SAV",#N/A,TRUE,"SAV";"PC1SAV2",#N/A,TRUE,"Sav2";"PC1DVAA",#N/A,TRUE,"DVA";"PC1TOTFRAISA",#N/A,TRUE,"A";"PC1FRXFRAIS",#N/A,TRUE,"FRX";"PC1GAR",#N/A,TRUE,"GAR";"PC1ACTLOCA",#N/A,TRUE,"A";"PC1LOCACTLOCECO",#N/A,TRUE,"LOC";"PC1ACTAUTRETERA",#N/A,TRUE,"A";"PC1ACTIVAT1",#N/A,TRUE,"ActivAT";"PC1ACTIVAT2",#N/A,TRUE,"ActivAT";"PC1ACTIVAT3",#N/A,TRUE,"ActivAT";"PC1HEXA",#N/A,TRUE,"A";"PC1HEX",#N/A,TRUE,"HEX";"PC1BILANA",#N/A,TRUE,"A";"PC1CONSOBIL",#N/A,TRUE,"CONSOBIL";"PC1BILAN",#N/A,TRUE,"BILAN";"PC1BILLOC",#N/A,TRUE,"BILLOC";"PC1DETACTA",#N/A,TRUE,"A";"PC1BILACTIMMO",#N/A,TRUE,"BilAct";"PC1BILACT",#N/A,TRUE,"BilAct";"PC1DETPASSA",#N/A,TRUE,"A";"PC1BILPAS",#N/A,TRUE,"BilPas";"PC1EFFECTIFA",#N/A,TRUE,"A";"PC1EFFECTIF",#N/A,TRUE,"EFFECTIF"}</definedName>
    <definedName name="fre_2" hidden="1">{"PC1EXPGENA",#N/A,TRUE,"A";"PC1CONSOEXP",#N/A,TRUE,"CONSOEXP";"PC1TOTEXPBMTP",#N/A,TRUE,"TOT";"PC1LOCEXPLOC",#N/A,TRUE,"LOC";"PC1TOTVTEA",#N/A,TRUE,"A";"PC1VTE",#N/A,TRUE,"VTE";"PC1VTENF",#N/A,TRUE,"VteNF";"PC1VTEOCC",#N/A,TRUE,"VteOCC";"PC1DVAV",#N/A,TRUE,"DVA";"PC1ANNMKVA",#N/A,TRUE,"A";"PC1MKV",#N/A,TRUE,"MKV";"PC1TOTSAVA",#N/A,TRUE,"A";"PC1MKA",#N/A,TRUE,"MKA";"PC1SAV",#N/A,TRUE,"SAV";"PC1SAV2",#N/A,TRUE,"Sav2";"PC1DVAA",#N/A,TRUE,"DVA";"PC1TOTFRAISA",#N/A,TRUE,"A";"PC1FRXFRAIS",#N/A,TRUE,"FRX";"PC1GAR",#N/A,TRUE,"GAR";"PC1ACTLOCA",#N/A,TRUE,"A";"PC1LOCACTLOCECO",#N/A,TRUE,"LOC";"PC1ACTAUTRETERA",#N/A,TRUE,"A";"PC1ACTIVAT1",#N/A,TRUE,"ActivAT";"PC1ACTIVAT2",#N/A,TRUE,"ActivAT";"PC1ACTIVAT3",#N/A,TRUE,"ActivAT";"PC1HEXA",#N/A,TRUE,"A";"PC1HEX",#N/A,TRUE,"HEX";"PC1BILANA",#N/A,TRUE,"A";"PC1CONSOBIL",#N/A,TRUE,"CONSOBIL";"PC1BILAN",#N/A,TRUE,"BILAN";"PC1BILLOC",#N/A,TRUE,"BILLOC";"PC1DETACTA",#N/A,TRUE,"A";"PC1BILACTIMMO",#N/A,TRUE,"BilAct";"PC1BILACT",#N/A,TRUE,"BilAct";"PC1DETPASSA",#N/A,TRUE,"A";"PC1BILPAS",#N/A,TRUE,"BilPas";"PC1EFFECTIFA",#N/A,TRUE,"A";"PC1EFFECTIF",#N/A,TRUE,"EFFECTIF"}</definedName>
    <definedName name="fre_2_1" hidden="1">{"PC1EXPGENA",#N/A,TRUE,"A";"PC1CONSOEXP",#N/A,TRUE,"CONSOEXP";"PC1TOTEXPBMTP",#N/A,TRUE,"TOT";"PC1LOCEXPLOC",#N/A,TRUE,"LOC";"PC1TOTVTEA",#N/A,TRUE,"A";"PC1VTE",#N/A,TRUE,"VTE";"PC1VTENF",#N/A,TRUE,"VteNF";"PC1VTEOCC",#N/A,TRUE,"VteOCC";"PC1DVAV",#N/A,TRUE,"DVA";"PC1ANNMKVA",#N/A,TRUE,"A";"PC1MKV",#N/A,TRUE,"MKV";"PC1TOTSAVA",#N/A,TRUE,"A";"PC1MKA",#N/A,TRUE,"MKA";"PC1SAV",#N/A,TRUE,"SAV";"PC1SAV2",#N/A,TRUE,"Sav2";"PC1DVAA",#N/A,TRUE,"DVA";"PC1TOTFRAISA",#N/A,TRUE,"A";"PC1FRXFRAIS",#N/A,TRUE,"FRX";"PC1GAR",#N/A,TRUE,"GAR";"PC1ACTLOCA",#N/A,TRUE,"A";"PC1LOCACTLOCECO",#N/A,TRUE,"LOC";"PC1ACTAUTRETERA",#N/A,TRUE,"A";"PC1ACTIVAT1",#N/A,TRUE,"ActivAT";"PC1ACTIVAT2",#N/A,TRUE,"ActivAT";"PC1ACTIVAT3",#N/A,TRUE,"ActivAT";"PC1HEXA",#N/A,TRUE,"A";"PC1HEX",#N/A,TRUE,"HEX";"PC1BILANA",#N/A,TRUE,"A";"PC1CONSOBIL",#N/A,TRUE,"CONSOBIL";"PC1BILAN",#N/A,TRUE,"BILAN";"PC1BILLOC",#N/A,TRUE,"BILLOC";"PC1DETACTA",#N/A,TRUE,"A";"PC1BILACTIMMO",#N/A,TRUE,"BilAct";"PC1BILACT",#N/A,TRUE,"BilAct";"PC1DETPASSA",#N/A,TRUE,"A";"PC1BILPAS",#N/A,TRUE,"BilPas";"PC1EFFECTIFA",#N/A,TRUE,"A";"PC1EFFECTIF",#N/A,TRUE,"EFFECTIF"}</definedName>
    <definedName name="fre_2_2" hidden="1">{"PC1EXPGENA",#N/A,TRUE,"A";"PC1CONSOEXP",#N/A,TRUE,"CONSOEXP";"PC1TOTEXPBMTP",#N/A,TRUE,"TOT";"PC1LOCEXPLOC",#N/A,TRUE,"LOC";"PC1TOTVTEA",#N/A,TRUE,"A";"PC1VTE",#N/A,TRUE,"VTE";"PC1VTENF",#N/A,TRUE,"VteNF";"PC1VTEOCC",#N/A,TRUE,"VteOCC";"PC1DVAV",#N/A,TRUE,"DVA";"PC1ANNMKVA",#N/A,TRUE,"A";"PC1MKV",#N/A,TRUE,"MKV";"PC1TOTSAVA",#N/A,TRUE,"A";"PC1MKA",#N/A,TRUE,"MKA";"PC1SAV",#N/A,TRUE,"SAV";"PC1SAV2",#N/A,TRUE,"Sav2";"PC1DVAA",#N/A,TRUE,"DVA";"PC1TOTFRAISA",#N/A,TRUE,"A";"PC1FRXFRAIS",#N/A,TRUE,"FRX";"PC1GAR",#N/A,TRUE,"GAR";"PC1ACTLOCA",#N/A,TRUE,"A";"PC1LOCACTLOCECO",#N/A,TRUE,"LOC";"PC1ACTAUTRETERA",#N/A,TRUE,"A";"PC1ACTIVAT1",#N/A,TRUE,"ActivAT";"PC1ACTIVAT2",#N/A,TRUE,"ActivAT";"PC1ACTIVAT3",#N/A,TRUE,"ActivAT";"PC1HEXA",#N/A,TRUE,"A";"PC1HEX",#N/A,TRUE,"HEX";"PC1BILANA",#N/A,TRUE,"A";"PC1CONSOBIL",#N/A,TRUE,"CONSOBIL";"PC1BILAN",#N/A,TRUE,"BILAN";"PC1BILLOC",#N/A,TRUE,"BILLOC";"PC1DETACTA",#N/A,TRUE,"A";"PC1BILACTIMMO",#N/A,TRUE,"BilAct";"PC1BILACT",#N/A,TRUE,"BilAct";"PC1DETPASSA",#N/A,TRUE,"A";"PC1BILPAS",#N/A,TRUE,"BilPas";"PC1EFFECTIFA",#N/A,TRUE,"A";"PC1EFFECTIF",#N/A,TRUE,"EFFECTIF"}</definedName>
    <definedName name="fre_3" hidden="1">{"PC1EXPGENA",#N/A,TRUE,"A";"PC1CONSOEXP",#N/A,TRUE,"CONSOEXP";"PC1TOTEXPBMTP",#N/A,TRUE,"TOT";"PC1LOCEXPLOC",#N/A,TRUE,"LOC";"PC1TOTVTEA",#N/A,TRUE,"A";"PC1VTE",#N/A,TRUE,"VTE";"PC1VTENF",#N/A,TRUE,"VteNF";"PC1VTEOCC",#N/A,TRUE,"VteOCC";"PC1DVAV",#N/A,TRUE,"DVA";"PC1ANNMKVA",#N/A,TRUE,"A";"PC1MKV",#N/A,TRUE,"MKV";"PC1TOTSAVA",#N/A,TRUE,"A";"PC1MKA",#N/A,TRUE,"MKA";"PC1SAV",#N/A,TRUE,"SAV";"PC1SAV2",#N/A,TRUE,"Sav2";"PC1DVAA",#N/A,TRUE,"DVA";"PC1TOTFRAISA",#N/A,TRUE,"A";"PC1FRXFRAIS",#N/A,TRUE,"FRX";"PC1GAR",#N/A,TRUE,"GAR";"PC1ACTLOCA",#N/A,TRUE,"A";"PC1LOCACTLOCECO",#N/A,TRUE,"LOC";"PC1ACTAUTRETERA",#N/A,TRUE,"A";"PC1ACTIVAT1",#N/A,TRUE,"ActivAT";"PC1ACTIVAT2",#N/A,TRUE,"ActivAT";"PC1ACTIVAT3",#N/A,TRUE,"ActivAT";"PC1HEXA",#N/A,TRUE,"A";"PC1HEX",#N/A,TRUE,"HEX";"PC1BILANA",#N/A,TRUE,"A";"PC1CONSOBIL",#N/A,TRUE,"CONSOBIL";"PC1BILAN",#N/A,TRUE,"BILAN";"PC1BILLOC",#N/A,TRUE,"BILLOC";"PC1DETACTA",#N/A,TRUE,"A";"PC1BILACTIMMO",#N/A,TRUE,"BilAct";"PC1BILACT",#N/A,TRUE,"BilAct";"PC1DETPASSA",#N/A,TRUE,"A";"PC1BILPAS",#N/A,TRUE,"BilPas";"PC1EFFECTIFA",#N/A,TRUE,"A";"PC1EFFECTIF",#N/A,TRUE,"EFFECTIF"}</definedName>
    <definedName name="fre_4" hidden="1">{"PC1EXPGENA",#N/A,TRUE,"A";"PC1CONSOEXP",#N/A,TRUE,"CONSOEXP";"PC1TOTEXPBMTP",#N/A,TRUE,"TOT";"PC1LOCEXPLOC",#N/A,TRUE,"LOC";"PC1TOTVTEA",#N/A,TRUE,"A";"PC1VTE",#N/A,TRUE,"VTE";"PC1VTENF",#N/A,TRUE,"VteNF";"PC1VTEOCC",#N/A,TRUE,"VteOCC";"PC1DVAV",#N/A,TRUE,"DVA";"PC1ANNMKVA",#N/A,TRUE,"A";"PC1MKV",#N/A,TRUE,"MKV";"PC1TOTSAVA",#N/A,TRUE,"A";"PC1MKA",#N/A,TRUE,"MKA";"PC1SAV",#N/A,TRUE,"SAV";"PC1SAV2",#N/A,TRUE,"Sav2";"PC1DVAA",#N/A,TRUE,"DVA";"PC1TOTFRAISA",#N/A,TRUE,"A";"PC1FRXFRAIS",#N/A,TRUE,"FRX";"PC1GAR",#N/A,TRUE,"GAR";"PC1ACTLOCA",#N/A,TRUE,"A";"PC1LOCACTLOCECO",#N/A,TRUE,"LOC";"PC1ACTAUTRETERA",#N/A,TRUE,"A";"PC1ACTIVAT1",#N/A,TRUE,"ActivAT";"PC1ACTIVAT2",#N/A,TRUE,"ActivAT";"PC1ACTIVAT3",#N/A,TRUE,"ActivAT";"PC1HEXA",#N/A,TRUE,"A";"PC1HEX",#N/A,TRUE,"HEX";"PC1BILANA",#N/A,TRUE,"A";"PC1CONSOBIL",#N/A,TRUE,"CONSOBIL";"PC1BILAN",#N/A,TRUE,"BILAN";"PC1BILLOC",#N/A,TRUE,"BILLOC";"PC1DETACTA",#N/A,TRUE,"A";"PC1BILACTIMMO",#N/A,TRUE,"BilAct";"PC1BILACT",#N/A,TRUE,"BilAct";"PC1DETPASSA",#N/A,TRUE,"A";"PC1BILPAS",#N/A,TRUE,"BilPas";"PC1EFFECTIFA",#N/A,TRUE,"A";"PC1EFFECTIF",#N/A,TRUE,"EFFECTIF"}</definedName>
    <definedName name="HEVE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HEVE_1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HEVE_1_1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HEVE_1_1_1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HEVE_1_1_2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HEVE_1_2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HEVE_1_3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HEVE_2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HEVE_2_1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HEVE_2_2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HEVE_3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HEVE_4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ID" localSheetId="1" hidden="1">"01803a2c-593b-4989-8da0-8510f5043c21"</definedName>
    <definedName name="ID" localSheetId="0" hidden="1">"3606a71d-a055-40f8-9f45-b56089c24065"</definedName>
    <definedName name="ID" localSheetId="2" hidden="1">"4678ffba-9c98-46f9-9a1c-b042ad66f05f"</definedName>
    <definedName name="janv._13">[1]TBB!$AR$6:$AR$17</definedName>
    <definedName name="LILI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LILI_1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LILI_1_1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LILI_1_1_1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LILI_1_1_2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LILI_1_2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LILI_1_3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LILI_2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LILI_2_1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LILI_2_2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LILI_3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LILI_4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REGIONS">#REF!</definedName>
    <definedName name="rubrique">#REF!</definedName>
    <definedName name="StockCGIv2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StockCGIv2_1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StockCGIv2_1_1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StockCGIv2_1_1_1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StockCGIv2_1_1_2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StockCGIv2_1_2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StockCGIv2_1_3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StockCGIv2_2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StockCGIv2_2_1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StockCGIv2_2_2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StockCGIv2_3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StockCGIv2_4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TEST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TEST_1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TEST_1_1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TEST_1_1_1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TEST_1_1_2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TEST_1_2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TEST_1_3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TEST_2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TEST_2_1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TEST_2_2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TEST_3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TEST_4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TEST3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TEST3_1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TEST3_1_1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TEST3_1_1_1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TEST3_1_1_2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TEST3_1_2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TEST3_1_3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TEST3_2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TEST3_2_1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TEST3_2_2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TEST3_3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TEST3_4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TM1REBUILDOPTION">1</definedName>
    <definedName name="wrn.PC" hidden="1">{"PC1EXPGENA",#N/A,TRUE,"A";"PC1CONSOEXP",#N/A,TRUE,"CONSOEXP";"PC1TOTEXPBMTP",#N/A,TRUE,"TOT";"PC1LOCEXPLOC",#N/A,TRUE,"LOC";"PC1TOTVTEA",#N/A,TRUE,"A";"PC1VTE",#N/A,TRUE,"VTE";"PC1VTENF",#N/A,TRUE,"VteNF";"PC1VTEOCC",#N/A,TRUE,"VteOCC";"PC1DVAV",#N/A,TRUE,"DVA";"PC1ANNMKVA",#N/A,TRUE,"A";"PC1MKV",#N/A,TRUE,"MKV";"PC1TOTSAVA",#N/A,TRUE,"A";"PC1MKA",#N/A,TRUE,"MKA";"PC1SAV",#N/A,TRUE,"SAV";"PC1SAV2",#N/A,TRUE,"Sav2";"PC1DVAA",#N/A,TRUE,"DVA";"PC1TOTFRAISA",#N/A,TRUE,"A";"PC1FRXFRAIS",#N/A,TRUE,"FRX";"PC1GAR",#N/A,TRUE,"GAR";"PC1ACTLOCA",#N/A,TRUE,"A";"PC1LOCACTLOCECO",#N/A,TRUE,"LOC";"PC1ACTAUTRETERA",#N/A,TRUE,"A";"PC1ACTIVAT1",#N/A,TRUE,"ActivAT";"PC1ACTIVAT2",#N/A,TRUE,"ActivAT";"PC1ACTIVAT3",#N/A,TRUE,"ActivAT";"PC1HEXA",#N/A,TRUE,"A";"PC1HEX",#N/A,TRUE,"HEX";"PC1BILANA",#N/A,TRUE,"A";"PC1CONSOBIL",#N/A,TRUE,"CONSOBIL";"PC1BILAN",#N/A,TRUE,"BILAN";"PC1BILLOC",#N/A,TRUE,"BILLOC";"PC1DETACTA",#N/A,TRUE,"A";"PC1BILACTIMMO",#N/A,TRUE,"BilAct";"PC1BILACT",#N/A,TRUE,"BilAct";"PC1DETPASSA",#N/A,TRUE,"A";"PC1BILPAS",#N/A,TRUE,"BilPas";"PC1EFFECTIFA",#N/A,TRUE,"A";"PC1EFFECTIF",#N/A,TRUE,"EFFECTIF"}</definedName>
    <definedName name="wrn.PC_1" hidden="1">{"PC1EXPGENA",#N/A,TRUE,"A";"PC1CONSOEXP",#N/A,TRUE,"CONSOEXP";"PC1TOTEXPBMTP",#N/A,TRUE,"TOT";"PC1LOCEXPLOC",#N/A,TRUE,"LOC";"PC1TOTVTEA",#N/A,TRUE,"A";"PC1VTE",#N/A,TRUE,"VTE";"PC1VTENF",#N/A,TRUE,"VteNF";"PC1VTEOCC",#N/A,TRUE,"VteOCC";"PC1DVAV",#N/A,TRUE,"DVA";"PC1ANNMKVA",#N/A,TRUE,"A";"PC1MKV",#N/A,TRUE,"MKV";"PC1TOTSAVA",#N/A,TRUE,"A";"PC1MKA",#N/A,TRUE,"MKA";"PC1SAV",#N/A,TRUE,"SAV";"PC1SAV2",#N/A,TRUE,"Sav2";"PC1DVAA",#N/A,TRUE,"DVA";"PC1TOTFRAISA",#N/A,TRUE,"A";"PC1FRXFRAIS",#N/A,TRUE,"FRX";"PC1GAR",#N/A,TRUE,"GAR";"PC1ACTLOCA",#N/A,TRUE,"A";"PC1LOCACTLOCECO",#N/A,TRUE,"LOC";"PC1ACTAUTRETERA",#N/A,TRUE,"A";"PC1ACTIVAT1",#N/A,TRUE,"ActivAT";"PC1ACTIVAT2",#N/A,TRUE,"ActivAT";"PC1ACTIVAT3",#N/A,TRUE,"ActivAT";"PC1HEXA",#N/A,TRUE,"A";"PC1HEX",#N/A,TRUE,"HEX";"PC1BILANA",#N/A,TRUE,"A";"PC1CONSOBIL",#N/A,TRUE,"CONSOBIL";"PC1BILAN",#N/A,TRUE,"BILAN";"PC1BILLOC",#N/A,TRUE,"BILLOC";"PC1DETACTA",#N/A,TRUE,"A";"PC1BILACTIMMO",#N/A,TRUE,"BilAct";"PC1BILACT",#N/A,TRUE,"BilAct";"PC1DETPASSA",#N/A,TRUE,"A";"PC1BILPAS",#N/A,TRUE,"BilPas";"PC1EFFECTIFA",#N/A,TRUE,"A";"PC1EFFECTIF",#N/A,TRUE,"EFFECTIF"}</definedName>
    <definedName name="wrn.PC_1_1" hidden="1">{"PC1EXPGENA",#N/A,TRUE,"A";"PC1CONSOEXP",#N/A,TRUE,"CONSOEXP";"PC1TOTEXPBMTP",#N/A,TRUE,"TOT";"PC1LOCEXPLOC",#N/A,TRUE,"LOC";"PC1TOTVTEA",#N/A,TRUE,"A";"PC1VTE",#N/A,TRUE,"VTE";"PC1VTENF",#N/A,TRUE,"VteNF";"PC1VTEOCC",#N/A,TRUE,"VteOCC";"PC1DVAV",#N/A,TRUE,"DVA";"PC1ANNMKVA",#N/A,TRUE,"A";"PC1MKV",#N/A,TRUE,"MKV";"PC1TOTSAVA",#N/A,TRUE,"A";"PC1MKA",#N/A,TRUE,"MKA";"PC1SAV",#N/A,TRUE,"SAV";"PC1SAV2",#N/A,TRUE,"Sav2";"PC1DVAA",#N/A,TRUE,"DVA";"PC1TOTFRAISA",#N/A,TRUE,"A";"PC1FRXFRAIS",#N/A,TRUE,"FRX";"PC1GAR",#N/A,TRUE,"GAR";"PC1ACTLOCA",#N/A,TRUE,"A";"PC1LOCACTLOCECO",#N/A,TRUE,"LOC";"PC1ACTAUTRETERA",#N/A,TRUE,"A";"PC1ACTIVAT1",#N/A,TRUE,"ActivAT";"PC1ACTIVAT2",#N/A,TRUE,"ActivAT";"PC1ACTIVAT3",#N/A,TRUE,"ActivAT";"PC1HEXA",#N/A,TRUE,"A";"PC1HEX",#N/A,TRUE,"HEX";"PC1BILANA",#N/A,TRUE,"A";"PC1CONSOBIL",#N/A,TRUE,"CONSOBIL";"PC1BILAN",#N/A,TRUE,"BILAN";"PC1BILLOC",#N/A,TRUE,"BILLOC";"PC1DETACTA",#N/A,TRUE,"A";"PC1BILACTIMMO",#N/A,TRUE,"BilAct";"PC1BILACT",#N/A,TRUE,"BilAct";"PC1DETPASSA",#N/A,TRUE,"A";"PC1BILPAS",#N/A,TRUE,"BilPas";"PC1EFFECTIFA",#N/A,TRUE,"A";"PC1EFFECTIF",#N/A,TRUE,"EFFECTIF"}</definedName>
    <definedName name="wrn.PC_1_1_1" hidden="1">{"PC1EXPGENA",#N/A,TRUE,"A";"PC1CONSOEXP",#N/A,TRUE,"CONSOEXP";"PC1TOTEXPBMTP",#N/A,TRUE,"TOT";"PC1LOCEXPLOC",#N/A,TRUE,"LOC";"PC1TOTVTEA",#N/A,TRUE,"A";"PC1VTE",#N/A,TRUE,"VTE";"PC1VTENF",#N/A,TRUE,"VteNF";"PC1VTEOCC",#N/A,TRUE,"VteOCC";"PC1DVAV",#N/A,TRUE,"DVA";"PC1ANNMKVA",#N/A,TRUE,"A";"PC1MKV",#N/A,TRUE,"MKV";"PC1TOTSAVA",#N/A,TRUE,"A";"PC1MKA",#N/A,TRUE,"MKA";"PC1SAV",#N/A,TRUE,"SAV";"PC1SAV2",#N/A,TRUE,"Sav2";"PC1DVAA",#N/A,TRUE,"DVA";"PC1TOTFRAISA",#N/A,TRUE,"A";"PC1FRXFRAIS",#N/A,TRUE,"FRX";"PC1GAR",#N/A,TRUE,"GAR";"PC1ACTLOCA",#N/A,TRUE,"A";"PC1LOCACTLOCECO",#N/A,TRUE,"LOC";"PC1ACTAUTRETERA",#N/A,TRUE,"A";"PC1ACTIVAT1",#N/A,TRUE,"ActivAT";"PC1ACTIVAT2",#N/A,TRUE,"ActivAT";"PC1ACTIVAT3",#N/A,TRUE,"ActivAT";"PC1HEXA",#N/A,TRUE,"A";"PC1HEX",#N/A,TRUE,"HEX";"PC1BILANA",#N/A,TRUE,"A";"PC1CONSOBIL",#N/A,TRUE,"CONSOBIL";"PC1BILAN",#N/A,TRUE,"BILAN";"PC1BILLOC",#N/A,TRUE,"BILLOC";"PC1DETACTA",#N/A,TRUE,"A";"PC1BILACTIMMO",#N/A,TRUE,"BilAct";"PC1BILACT",#N/A,TRUE,"BilAct";"PC1DETPASSA",#N/A,TRUE,"A";"PC1BILPAS",#N/A,TRUE,"BilPas";"PC1EFFECTIFA",#N/A,TRUE,"A";"PC1EFFECTIF",#N/A,TRUE,"EFFECTIF"}</definedName>
    <definedName name="wrn.PC_1_1_2" hidden="1">{"PC1EXPGENA",#N/A,TRUE,"A";"PC1CONSOEXP",#N/A,TRUE,"CONSOEXP";"PC1TOTEXPBMTP",#N/A,TRUE,"TOT";"PC1LOCEXPLOC",#N/A,TRUE,"LOC";"PC1TOTVTEA",#N/A,TRUE,"A";"PC1VTE",#N/A,TRUE,"VTE";"PC1VTENF",#N/A,TRUE,"VteNF";"PC1VTEOCC",#N/A,TRUE,"VteOCC";"PC1DVAV",#N/A,TRUE,"DVA";"PC1ANNMKVA",#N/A,TRUE,"A";"PC1MKV",#N/A,TRUE,"MKV";"PC1TOTSAVA",#N/A,TRUE,"A";"PC1MKA",#N/A,TRUE,"MKA";"PC1SAV",#N/A,TRUE,"SAV";"PC1SAV2",#N/A,TRUE,"Sav2";"PC1DVAA",#N/A,TRUE,"DVA";"PC1TOTFRAISA",#N/A,TRUE,"A";"PC1FRXFRAIS",#N/A,TRUE,"FRX";"PC1GAR",#N/A,TRUE,"GAR";"PC1ACTLOCA",#N/A,TRUE,"A";"PC1LOCACTLOCECO",#N/A,TRUE,"LOC";"PC1ACTAUTRETERA",#N/A,TRUE,"A";"PC1ACTIVAT1",#N/A,TRUE,"ActivAT";"PC1ACTIVAT2",#N/A,TRUE,"ActivAT";"PC1ACTIVAT3",#N/A,TRUE,"ActivAT";"PC1HEXA",#N/A,TRUE,"A";"PC1HEX",#N/A,TRUE,"HEX";"PC1BILANA",#N/A,TRUE,"A";"PC1CONSOBIL",#N/A,TRUE,"CONSOBIL";"PC1BILAN",#N/A,TRUE,"BILAN";"PC1BILLOC",#N/A,TRUE,"BILLOC";"PC1DETACTA",#N/A,TRUE,"A";"PC1BILACTIMMO",#N/A,TRUE,"BilAct";"PC1BILACT",#N/A,TRUE,"BilAct";"PC1DETPASSA",#N/A,TRUE,"A";"PC1BILPAS",#N/A,TRUE,"BilPas";"PC1EFFECTIFA",#N/A,TRUE,"A";"PC1EFFECTIF",#N/A,TRUE,"EFFECTIF"}</definedName>
    <definedName name="wrn.PC_1_2" hidden="1">{"PC1EXPGENA",#N/A,TRUE,"A";"PC1CONSOEXP",#N/A,TRUE,"CONSOEXP";"PC1TOTEXPBMTP",#N/A,TRUE,"TOT";"PC1LOCEXPLOC",#N/A,TRUE,"LOC";"PC1TOTVTEA",#N/A,TRUE,"A";"PC1VTE",#N/A,TRUE,"VTE";"PC1VTENF",#N/A,TRUE,"VteNF";"PC1VTEOCC",#N/A,TRUE,"VteOCC";"PC1DVAV",#N/A,TRUE,"DVA";"PC1ANNMKVA",#N/A,TRUE,"A";"PC1MKV",#N/A,TRUE,"MKV";"PC1TOTSAVA",#N/A,TRUE,"A";"PC1MKA",#N/A,TRUE,"MKA";"PC1SAV",#N/A,TRUE,"SAV";"PC1SAV2",#N/A,TRUE,"Sav2";"PC1DVAA",#N/A,TRUE,"DVA";"PC1TOTFRAISA",#N/A,TRUE,"A";"PC1FRXFRAIS",#N/A,TRUE,"FRX";"PC1GAR",#N/A,TRUE,"GAR";"PC1ACTLOCA",#N/A,TRUE,"A";"PC1LOCACTLOCECO",#N/A,TRUE,"LOC";"PC1ACTAUTRETERA",#N/A,TRUE,"A";"PC1ACTIVAT1",#N/A,TRUE,"ActivAT";"PC1ACTIVAT2",#N/A,TRUE,"ActivAT";"PC1ACTIVAT3",#N/A,TRUE,"ActivAT";"PC1HEXA",#N/A,TRUE,"A";"PC1HEX",#N/A,TRUE,"HEX";"PC1BILANA",#N/A,TRUE,"A";"PC1CONSOBIL",#N/A,TRUE,"CONSOBIL";"PC1BILAN",#N/A,TRUE,"BILAN";"PC1BILLOC",#N/A,TRUE,"BILLOC";"PC1DETACTA",#N/A,TRUE,"A";"PC1BILACTIMMO",#N/A,TRUE,"BilAct";"PC1BILACT",#N/A,TRUE,"BilAct";"PC1DETPASSA",#N/A,TRUE,"A";"PC1BILPAS",#N/A,TRUE,"BilPas";"PC1EFFECTIFA",#N/A,TRUE,"A";"PC1EFFECTIF",#N/A,TRUE,"EFFECTIF"}</definedName>
    <definedName name="wrn.PC_1_3" hidden="1">{"PC1EXPGENA",#N/A,TRUE,"A";"PC1CONSOEXP",#N/A,TRUE,"CONSOEXP";"PC1TOTEXPBMTP",#N/A,TRUE,"TOT";"PC1LOCEXPLOC",#N/A,TRUE,"LOC";"PC1TOTVTEA",#N/A,TRUE,"A";"PC1VTE",#N/A,TRUE,"VTE";"PC1VTENF",#N/A,TRUE,"VteNF";"PC1VTEOCC",#N/A,TRUE,"VteOCC";"PC1DVAV",#N/A,TRUE,"DVA";"PC1ANNMKVA",#N/A,TRUE,"A";"PC1MKV",#N/A,TRUE,"MKV";"PC1TOTSAVA",#N/A,TRUE,"A";"PC1MKA",#N/A,TRUE,"MKA";"PC1SAV",#N/A,TRUE,"SAV";"PC1SAV2",#N/A,TRUE,"Sav2";"PC1DVAA",#N/A,TRUE,"DVA";"PC1TOTFRAISA",#N/A,TRUE,"A";"PC1FRXFRAIS",#N/A,TRUE,"FRX";"PC1GAR",#N/A,TRUE,"GAR";"PC1ACTLOCA",#N/A,TRUE,"A";"PC1LOCACTLOCECO",#N/A,TRUE,"LOC";"PC1ACTAUTRETERA",#N/A,TRUE,"A";"PC1ACTIVAT1",#N/A,TRUE,"ActivAT";"PC1ACTIVAT2",#N/A,TRUE,"ActivAT";"PC1ACTIVAT3",#N/A,TRUE,"ActivAT";"PC1HEXA",#N/A,TRUE,"A";"PC1HEX",#N/A,TRUE,"HEX";"PC1BILANA",#N/A,TRUE,"A";"PC1CONSOBIL",#N/A,TRUE,"CONSOBIL";"PC1BILAN",#N/A,TRUE,"BILAN";"PC1BILLOC",#N/A,TRUE,"BILLOC";"PC1DETACTA",#N/A,TRUE,"A";"PC1BILACTIMMO",#N/A,TRUE,"BilAct";"PC1BILACT",#N/A,TRUE,"BilAct";"PC1DETPASSA",#N/A,TRUE,"A";"PC1BILPAS",#N/A,TRUE,"BilPas";"PC1EFFECTIFA",#N/A,TRUE,"A";"PC1EFFECTIF",#N/A,TRUE,"EFFECTIF"}</definedName>
    <definedName name="wrn.PC_2" hidden="1">{"PC1EXPGENA",#N/A,TRUE,"A";"PC1CONSOEXP",#N/A,TRUE,"CONSOEXP";"PC1TOTEXPBMTP",#N/A,TRUE,"TOT";"PC1LOCEXPLOC",#N/A,TRUE,"LOC";"PC1TOTVTEA",#N/A,TRUE,"A";"PC1VTE",#N/A,TRUE,"VTE";"PC1VTENF",#N/A,TRUE,"VteNF";"PC1VTEOCC",#N/A,TRUE,"VteOCC";"PC1DVAV",#N/A,TRUE,"DVA";"PC1ANNMKVA",#N/A,TRUE,"A";"PC1MKV",#N/A,TRUE,"MKV";"PC1TOTSAVA",#N/A,TRUE,"A";"PC1MKA",#N/A,TRUE,"MKA";"PC1SAV",#N/A,TRUE,"SAV";"PC1SAV2",#N/A,TRUE,"Sav2";"PC1DVAA",#N/A,TRUE,"DVA";"PC1TOTFRAISA",#N/A,TRUE,"A";"PC1FRXFRAIS",#N/A,TRUE,"FRX";"PC1GAR",#N/A,TRUE,"GAR";"PC1ACTLOCA",#N/A,TRUE,"A";"PC1LOCACTLOCECO",#N/A,TRUE,"LOC";"PC1ACTAUTRETERA",#N/A,TRUE,"A";"PC1ACTIVAT1",#N/A,TRUE,"ActivAT";"PC1ACTIVAT2",#N/A,TRUE,"ActivAT";"PC1ACTIVAT3",#N/A,TRUE,"ActivAT";"PC1HEXA",#N/A,TRUE,"A";"PC1HEX",#N/A,TRUE,"HEX";"PC1BILANA",#N/A,TRUE,"A";"PC1CONSOBIL",#N/A,TRUE,"CONSOBIL";"PC1BILAN",#N/A,TRUE,"BILAN";"PC1BILLOC",#N/A,TRUE,"BILLOC";"PC1DETACTA",#N/A,TRUE,"A";"PC1BILACTIMMO",#N/A,TRUE,"BilAct";"PC1BILACT",#N/A,TRUE,"BilAct";"PC1DETPASSA",#N/A,TRUE,"A";"PC1BILPAS",#N/A,TRUE,"BilPas";"PC1EFFECTIFA",#N/A,TRUE,"A";"PC1EFFECTIF",#N/A,TRUE,"EFFECTIF"}</definedName>
    <definedName name="wrn.PC_2_1" hidden="1">{"PC1EXPGENA",#N/A,TRUE,"A";"PC1CONSOEXP",#N/A,TRUE,"CONSOEXP";"PC1TOTEXPBMTP",#N/A,TRUE,"TOT";"PC1LOCEXPLOC",#N/A,TRUE,"LOC";"PC1TOTVTEA",#N/A,TRUE,"A";"PC1VTE",#N/A,TRUE,"VTE";"PC1VTENF",#N/A,TRUE,"VteNF";"PC1VTEOCC",#N/A,TRUE,"VteOCC";"PC1DVAV",#N/A,TRUE,"DVA";"PC1ANNMKVA",#N/A,TRUE,"A";"PC1MKV",#N/A,TRUE,"MKV";"PC1TOTSAVA",#N/A,TRUE,"A";"PC1MKA",#N/A,TRUE,"MKA";"PC1SAV",#N/A,TRUE,"SAV";"PC1SAV2",#N/A,TRUE,"Sav2";"PC1DVAA",#N/A,TRUE,"DVA";"PC1TOTFRAISA",#N/A,TRUE,"A";"PC1FRXFRAIS",#N/A,TRUE,"FRX";"PC1GAR",#N/A,TRUE,"GAR";"PC1ACTLOCA",#N/A,TRUE,"A";"PC1LOCACTLOCECO",#N/A,TRUE,"LOC";"PC1ACTAUTRETERA",#N/A,TRUE,"A";"PC1ACTIVAT1",#N/A,TRUE,"ActivAT";"PC1ACTIVAT2",#N/A,TRUE,"ActivAT";"PC1ACTIVAT3",#N/A,TRUE,"ActivAT";"PC1HEXA",#N/A,TRUE,"A";"PC1HEX",#N/A,TRUE,"HEX";"PC1BILANA",#N/A,TRUE,"A";"PC1CONSOBIL",#N/A,TRUE,"CONSOBIL";"PC1BILAN",#N/A,TRUE,"BILAN";"PC1BILLOC",#N/A,TRUE,"BILLOC";"PC1DETACTA",#N/A,TRUE,"A";"PC1BILACTIMMO",#N/A,TRUE,"BilAct";"PC1BILACT",#N/A,TRUE,"BilAct";"PC1DETPASSA",#N/A,TRUE,"A";"PC1BILPAS",#N/A,TRUE,"BilPas";"PC1EFFECTIFA",#N/A,TRUE,"A";"PC1EFFECTIF",#N/A,TRUE,"EFFECTIF"}</definedName>
    <definedName name="wrn.PC_2_2" hidden="1">{"PC1EXPGENA",#N/A,TRUE,"A";"PC1CONSOEXP",#N/A,TRUE,"CONSOEXP";"PC1TOTEXPBMTP",#N/A,TRUE,"TOT";"PC1LOCEXPLOC",#N/A,TRUE,"LOC";"PC1TOTVTEA",#N/A,TRUE,"A";"PC1VTE",#N/A,TRUE,"VTE";"PC1VTENF",#N/A,TRUE,"VteNF";"PC1VTEOCC",#N/A,TRUE,"VteOCC";"PC1DVAV",#N/A,TRUE,"DVA";"PC1ANNMKVA",#N/A,TRUE,"A";"PC1MKV",#N/A,TRUE,"MKV";"PC1TOTSAVA",#N/A,TRUE,"A";"PC1MKA",#N/A,TRUE,"MKA";"PC1SAV",#N/A,TRUE,"SAV";"PC1SAV2",#N/A,TRUE,"Sav2";"PC1DVAA",#N/A,TRUE,"DVA";"PC1TOTFRAISA",#N/A,TRUE,"A";"PC1FRXFRAIS",#N/A,TRUE,"FRX";"PC1GAR",#N/A,TRUE,"GAR";"PC1ACTLOCA",#N/A,TRUE,"A";"PC1LOCACTLOCECO",#N/A,TRUE,"LOC";"PC1ACTAUTRETERA",#N/A,TRUE,"A";"PC1ACTIVAT1",#N/A,TRUE,"ActivAT";"PC1ACTIVAT2",#N/A,TRUE,"ActivAT";"PC1ACTIVAT3",#N/A,TRUE,"ActivAT";"PC1HEXA",#N/A,TRUE,"A";"PC1HEX",#N/A,TRUE,"HEX";"PC1BILANA",#N/A,TRUE,"A";"PC1CONSOBIL",#N/A,TRUE,"CONSOBIL";"PC1BILAN",#N/A,TRUE,"BILAN";"PC1BILLOC",#N/A,TRUE,"BILLOC";"PC1DETACTA",#N/A,TRUE,"A";"PC1BILACTIMMO",#N/A,TRUE,"BilAct";"PC1BILACT",#N/A,TRUE,"BilAct";"PC1DETPASSA",#N/A,TRUE,"A";"PC1BILPAS",#N/A,TRUE,"BilPas";"PC1EFFECTIFA",#N/A,TRUE,"A";"PC1EFFECTIF",#N/A,TRUE,"EFFECTIF"}</definedName>
    <definedName name="wrn.PC_3" hidden="1">{"PC1EXPGENA",#N/A,TRUE,"A";"PC1CONSOEXP",#N/A,TRUE,"CONSOEXP";"PC1TOTEXPBMTP",#N/A,TRUE,"TOT";"PC1LOCEXPLOC",#N/A,TRUE,"LOC";"PC1TOTVTEA",#N/A,TRUE,"A";"PC1VTE",#N/A,TRUE,"VTE";"PC1VTENF",#N/A,TRUE,"VteNF";"PC1VTEOCC",#N/A,TRUE,"VteOCC";"PC1DVAV",#N/A,TRUE,"DVA";"PC1ANNMKVA",#N/A,TRUE,"A";"PC1MKV",#N/A,TRUE,"MKV";"PC1TOTSAVA",#N/A,TRUE,"A";"PC1MKA",#N/A,TRUE,"MKA";"PC1SAV",#N/A,TRUE,"SAV";"PC1SAV2",#N/A,TRUE,"Sav2";"PC1DVAA",#N/A,TRUE,"DVA";"PC1TOTFRAISA",#N/A,TRUE,"A";"PC1FRXFRAIS",#N/A,TRUE,"FRX";"PC1GAR",#N/A,TRUE,"GAR";"PC1ACTLOCA",#N/A,TRUE,"A";"PC1LOCACTLOCECO",#N/A,TRUE,"LOC";"PC1ACTAUTRETERA",#N/A,TRUE,"A";"PC1ACTIVAT1",#N/A,TRUE,"ActivAT";"PC1ACTIVAT2",#N/A,TRUE,"ActivAT";"PC1ACTIVAT3",#N/A,TRUE,"ActivAT";"PC1HEXA",#N/A,TRUE,"A";"PC1HEX",#N/A,TRUE,"HEX";"PC1BILANA",#N/A,TRUE,"A";"PC1CONSOBIL",#N/A,TRUE,"CONSOBIL";"PC1BILAN",#N/A,TRUE,"BILAN";"PC1BILLOC",#N/A,TRUE,"BILLOC";"PC1DETACTA",#N/A,TRUE,"A";"PC1BILACTIMMO",#N/A,TRUE,"BilAct";"PC1BILACT",#N/A,TRUE,"BilAct";"PC1DETPASSA",#N/A,TRUE,"A";"PC1BILPAS",#N/A,TRUE,"BilPas";"PC1EFFECTIFA",#N/A,TRUE,"A";"PC1EFFECTIF",#N/A,TRUE,"EFFECTIF"}</definedName>
    <definedName name="wrn.PC_4" hidden="1">{"PC1EXPGENA",#N/A,TRUE,"A";"PC1CONSOEXP",#N/A,TRUE,"CONSOEXP";"PC1TOTEXPBMTP",#N/A,TRUE,"TOT";"PC1LOCEXPLOC",#N/A,TRUE,"LOC";"PC1TOTVTEA",#N/A,TRUE,"A";"PC1VTE",#N/A,TRUE,"VTE";"PC1VTENF",#N/A,TRUE,"VteNF";"PC1VTEOCC",#N/A,TRUE,"VteOCC";"PC1DVAV",#N/A,TRUE,"DVA";"PC1ANNMKVA",#N/A,TRUE,"A";"PC1MKV",#N/A,TRUE,"MKV";"PC1TOTSAVA",#N/A,TRUE,"A";"PC1MKA",#N/A,TRUE,"MKA";"PC1SAV",#N/A,TRUE,"SAV";"PC1SAV2",#N/A,TRUE,"Sav2";"PC1DVAA",#N/A,TRUE,"DVA";"PC1TOTFRAISA",#N/A,TRUE,"A";"PC1FRXFRAIS",#N/A,TRUE,"FRX";"PC1GAR",#N/A,TRUE,"GAR";"PC1ACTLOCA",#N/A,TRUE,"A";"PC1LOCACTLOCECO",#N/A,TRUE,"LOC";"PC1ACTAUTRETERA",#N/A,TRUE,"A";"PC1ACTIVAT1",#N/A,TRUE,"ActivAT";"PC1ACTIVAT2",#N/A,TRUE,"ActivAT";"PC1ACTIVAT3",#N/A,TRUE,"ActivAT";"PC1HEXA",#N/A,TRUE,"A";"PC1HEX",#N/A,TRUE,"HEX";"PC1BILANA",#N/A,TRUE,"A";"PC1CONSOBIL",#N/A,TRUE,"CONSOBIL";"PC1BILAN",#N/A,TRUE,"BILAN";"PC1BILLOC",#N/A,TRUE,"BILLOC";"PC1DETACTA",#N/A,TRUE,"A";"PC1BILACTIMMO",#N/A,TRUE,"BilAct";"PC1BILACT",#N/A,TRUE,"BilAct";"PC1DETPASSA",#N/A,TRUE,"A";"PC1BILPAS",#N/A,TRUE,"BilPas";"PC1EFFECTIFA",#N/A,TRUE,"A";"PC1EFFECTIF",#N/A,TRUE,"EFFECTIF"}</definedName>
    <definedName name="wrn.PC1.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wrn.PC1._1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wrn.PC1._1_1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wrn.PC1._1_1_1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wrn.PC1._1_1_2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wrn.PC1._1_2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wrn.PC1._1_3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wrn.PC1._2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wrn.PC1._2_1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wrn.PC1._2_2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wrn.PC1._3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wrn.PC1._4" hidden="1">{"2",#N/A,FALSE,"CONSOBIL (2)";"3",#N/A,FALSE,"CONSOBIL (2)";"38",#N/A,FALSE,"CONSOBIL";"39",#N/A,FALSE,"CONSOBIL";"41",#N/A,FALSE,"BILAN";"42",#N/A,FALSE,"BILAN";"44",#N/A,FALSE,"BilAct";"45",#N/A,FALSE,"BilAct";"45bis",#N/A,FALSE,"BilAct";"46",#N/A,FALSE,"BilAct";"47",#N/A,FALSE,"BilAct";"48",#N/A,FALSE,"BilAct";"49",#N/A,FALSE,"BilAct";"50",#N/A,FALSE,"BilAct";"51",#N/A,FALSE,"BilAct";"52",#N/A,FALSE,"BilPas";"53",#N/A,FALSE,"BilPas";"54",#N/A,FALSE,"BilPas";"55",#N/A,FALSE,"BilPas";"56",#N/A,FALSE,"SOLDGEST";"43",#N/A,FALSE,"BILLOC"}</definedName>
    <definedName name="wrn.pc12" hidden="1">{"PC1EXPGENA",#N/A,TRUE,"A";"PC1CONSOEXP",#N/A,TRUE,"CONSOEXP";"PC1TOTEXPBMTP",#N/A,TRUE,"TOT";"PC1LOCEXPLOC",#N/A,TRUE,"LOC";"PC1TOTVTEA",#N/A,TRUE,"A";"PC1VTE",#N/A,TRUE,"VTE";"PC1VTENF",#N/A,TRUE,"VteNF";"PC1VTEOCC",#N/A,TRUE,"VteOCC";"PC1DVAV",#N/A,TRUE,"DVA";"PC1ANNMKVA",#N/A,TRUE,"A";"PC1MKV",#N/A,TRUE,"MKV";"PC1TOTSAVA",#N/A,TRUE,"A";"PC1MKA",#N/A,TRUE,"MKA";"PC1SAV",#N/A,TRUE,"SAV";"PC1SAV2",#N/A,TRUE,"Sav2";"PC1DVAA",#N/A,TRUE,"DVA";"PC1TOTFRAISA",#N/A,TRUE,"A";"PC1FRXFRAIS",#N/A,TRUE,"FRX";"PC1GAR",#N/A,TRUE,"GAR";"PC1ACTLOCA",#N/A,TRUE,"A";"PC1LOCACTLOCECO",#N/A,TRUE,"LOC";"PC1ACTAUTRETERA",#N/A,TRUE,"A";"PC1ACTIVAT1",#N/A,TRUE,"ActivAT";"PC1ACTIVAT2",#N/A,TRUE,"ActivAT";"PC1ACTIVAT3",#N/A,TRUE,"ActivAT";"PC1HEXA",#N/A,TRUE,"A";"PC1HEX",#N/A,TRUE,"HEX";"PC1BILANA",#N/A,TRUE,"A";"PC1CONSOBIL",#N/A,TRUE,"CONSOBIL";"PC1BILAN",#N/A,TRUE,"BILAN";"PC1BILLOC",#N/A,TRUE,"BILLOC";"PC1DETACTA",#N/A,TRUE,"A";"PC1BILACTIMMO",#N/A,TRUE,"BilAct";"PC1BILACT",#N/A,TRUE,"BilAct";"PC1DETPASSA",#N/A,TRUE,"A";"PC1BILPAS",#N/A,TRUE,"BilPas";"PC1EFFECTIFA",#N/A,TRUE,"A";"PC1EFFECTIF",#N/A,TRUE,"EFFECTIF"}</definedName>
    <definedName name="wrn.pc12_1" hidden="1">{"PC1EXPGENA",#N/A,TRUE,"A";"PC1CONSOEXP",#N/A,TRUE,"CONSOEXP";"PC1TOTEXPBMTP",#N/A,TRUE,"TOT";"PC1LOCEXPLOC",#N/A,TRUE,"LOC";"PC1TOTVTEA",#N/A,TRUE,"A";"PC1VTE",#N/A,TRUE,"VTE";"PC1VTENF",#N/A,TRUE,"VteNF";"PC1VTEOCC",#N/A,TRUE,"VteOCC";"PC1DVAV",#N/A,TRUE,"DVA";"PC1ANNMKVA",#N/A,TRUE,"A";"PC1MKV",#N/A,TRUE,"MKV";"PC1TOTSAVA",#N/A,TRUE,"A";"PC1MKA",#N/A,TRUE,"MKA";"PC1SAV",#N/A,TRUE,"SAV";"PC1SAV2",#N/A,TRUE,"Sav2";"PC1DVAA",#N/A,TRUE,"DVA";"PC1TOTFRAISA",#N/A,TRUE,"A";"PC1FRXFRAIS",#N/A,TRUE,"FRX";"PC1GAR",#N/A,TRUE,"GAR";"PC1ACTLOCA",#N/A,TRUE,"A";"PC1LOCACTLOCECO",#N/A,TRUE,"LOC";"PC1ACTAUTRETERA",#N/A,TRUE,"A";"PC1ACTIVAT1",#N/A,TRUE,"ActivAT";"PC1ACTIVAT2",#N/A,TRUE,"ActivAT";"PC1ACTIVAT3",#N/A,TRUE,"ActivAT";"PC1HEXA",#N/A,TRUE,"A";"PC1HEX",#N/A,TRUE,"HEX";"PC1BILANA",#N/A,TRUE,"A";"PC1CONSOBIL",#N/A,TRUE,"CONSOBIL";"PC1BILAN",#N/A,TRUE,"BILAN";"PC1BILLOC",#N/A,TRUE,"BILLOC";"PC1DETACTA",#N/A,TRUE,"A";"PC1BILACTIMMO",#N/A,TRUE,"BilAct";"PC1BILACT",#N/A,TRUE,"BilAct";"PC1DETPASSA",#N/A,TRUE,"A";"PC1BILPAS",#N/A,TRUE,"BilPas";"PC1EFFECTIFA",#N/A,TRUE,"A";"PC1EFFECTIF",#N/A,TRUE,"EFFECTIF"}</definedName>
    <definedName name="wrn.pc12_1_1" hidden="1">{"PC1EXPGENA",#N/A,TRUE,"A";"PC1CONSOEXP",#N/A,TRUE,"CONSOEXP";"PC1TOTEXPBMTP",#N/A,TRUE,"TOT";"PC1LOCEXPLOC",#N/A,TRUE,"LOC";"PC1TOTVTEA",#N/A,TRUE,"A";"PC1VTE",#N/A,TRUE,"VTE";"PC1VTENF",#N/A,TRUE,"VteNF";"PC1VTEOCC",#N/A,TRUE,"VteOCC";"PC1DVAV",#N/A,TRUE,"DVA";"PC1ANNMKVA",#N/A,TRUE,"A";"PC1MKV",#N/A,TRUE,"MKV";"PC1TOTSAVA",#N/A,TRUE,"A";"PC1MKA",#N/A,TRUE,"MKA";"PC1SAV",#N/A,TRUE,"SAV";"PC1SAV2",#N/A,TRUE,"Sav2";"PC1DVAA",#N/A,TRUE,"DVA";"PC1TOTFRAISA",#N/A,TRUE,"A";"PC1FRXFRAIS",#N/A,TRUE,"FRX";"PC1GAR",#N/A,TRUE,"GAR";"PC1ACTLOCA",#N/A,TRUE,"A";"PC1LOCACTLOCECO",#N/A,TRUE,"LOC";"PC1ACTAUTRETERA",#N/A,TRUE,"A";"PC1ACTIVAT1",#N/A,TRUE,"ActivAT";"PC1ACTIVAT2",#N/A,TRUE,"ActivAT";"PC1ACTIVAT3",#N/A,TRUE,"ActivAT";"PC1HEXA",#N/A,TRUE,"A";"PC1HEX",#N/A,TRUE,"HEX";"PC1BILANA",#N/A,TRUE,"A";"PC1CONSOBIL",#N/A,TRUE,"CONSOBIL";"PC1BILAN",#N/A,TRUE,"BILAN";"PC1BILLOC",#N/A,TRUE,"BILLOC";"PC1DETACTA",#N/A,TRUE,"A";"PC1BILACTIMMO",#N/A,TRUE,"BilAct";"PC1BILACT",#N/A,TRUE,"BilAct";"PC1DETPASSA",#N/A,TRUE,"A";"PC1BILPAS",#N/A,TRUE,"BilPas";"PC1EFFECTIFA",#N/A,TRUE,"A";"PC1EFFECTIF",#N/A,TRUE,"EFFECTIF"}</definedName>
    <definedName name="wrn.pc12_1_1_1" hidden="1">{"PC1EXPGENA",#N/A,TRUE,"A";"PC1CONSOEXP",#N/A,TRUE,"CONSOEXP";"PC1TOTEXPBMTP",#N/A,TRUE,"TOT";"PC1LOCEXPLOC",#N/A,TRUE,"LOC";"PC1TOTVTEA",#N/A,TRUE,"A";"PC1VTE",#N/A,TRUE,"VTE";"PC1VTENF",#N/A,TRUE,"VteNF";"PC1VTEOCC",#N/A,TRUE,"VteOCC";"PC1DVAV",#N/A,TRUE,"DVA";"PC1ANNMKVA",#N/A,TRUE,"A";"PC1MKV",#N/A,TRUE,"MKV";"PC1TOTSAVA",#N/A,TRUE,"A";"PC1MKA",#N/A,TRUE,"MKA";"PC1SAV",#N/A,TRUE,"SAV";"PC1SAV2",#N/A,TRUE,"Sav2";"PC1DVAA",#N/A,TRUE,"DVA";"PC1TOTFRAISA",#N/A,TRUE,"A";"PC1FRXFRAIS",#N/A,TRUE,"FRX";"PC1GAR",#N/A,TRUE,"GAR";"PC1ACTLOCA",#N/A,TRUE,"A";"PC1LOCACTLOCECO",#N/A,TRUE,"LOC";"PC1ACTAUTRETERA",#N/A,TRUE,"A";"PC1ACTIVAT1",#N/A,TRUE,"ActivAT";"PC1ACTIVAT2",#N/A,TRUE,"ActivAT";"PC1ACTIVAT3",#N/A,TRUE,"ActivAT";"PC1HEXA",#N/A,TRUE,"A";"PC1HEX",#N/A,TRUE,"HEX";"PC1BILANA",#N/A,TRUE,"A";"PC1CONSOBIL",#N/A,TRUE,"CONSOBIL";"PC1BILAN",#N/A,TRUE,"BILAN";"PC1BILLOC",#N/A,TRUE,"BILLOC";"PC1DETACTA",#N/A,TRUE,"A";"PC1BILACTIMMO",#N/A,TRUE,"BilAct";"PC1BILACT",#N/A,TRUE,"BilAct";"PC1DETPASSA",#N/A,TRUE,"A";"PC1BILPAS",#N/A,TRUE,"BilPas";"PC1EFFECTIFA",#N/A,TRUE,"A";"PC1EFFECTIF",#N/A,TRUE,"EFFECTIF"}</definedName>
    <definedName name="wrn.pc12_1_1_2" hidden="1">{"PC1EXPGENA",#N/A,TRUE,"A";"PC1CONSOEXP",#N/A,TRUE,"CONSOEXP";"PC1TOTEXPBMTP",#N/A,TRUE,"TOT";"PC1LOCEXPLOC",#N/A,TRUE,"LOC";"PC1TOTVTEA",#N/A,TRUE,"A";"PC1VTE",#N/A,TRUE,"VTE";"PC1VTENF",#N/A,TRUE,"VteNF";"PC1VTEOCC",#N/A,TRUE,"VteOCC";"PC1DVAV",#N/A,TRUE,"DVA";"PC1ANNMKVA",#N/A,TRUE,"A";"PC1MKV",#N/A,TRUE,"MKV";"PC1TOTSAVA",#N/A,TRUE,"A";"PC1MKA",#N/A,TRUE,"MKA";"PC1SAV",#N/A,TRUE,"SAV";"PC1SAV2",#N/A,TRUE,"Sav2";"PC1DVAA",#N/A,TRUE,"DVA";"PC1TOTFRAISA",#N/A,TRUE,"A";"PC1FRXFRAIS",#N/A,TRUE,"FRX";"PC1GAR",#N/A,TRUE,"GAR";"PC1ACTLOCA",#N/A,TRUE,"A";"PC1LOCACTLOCECO",#N/A,TRUE,"LOC";"PC1ACTAUTRETERA",#N/A,TRUE,"A";"PC1ACTIVAT1",#N/A,TRUE,"ActivAT";"PC1ACTIVAT2",#N/A,TRUE,"ActivAT";"PC1ACTIVAT3",#N/A,TRUE,"ActivAT";"PC1HEXA",#N/A,TRUE,"A";"PC1HEX",#N/A,TRUE,"HEX";"PC1BILANA",#N/A,TRUE,"A";"PC1CONSOBIL",#N/A,TRUE,"CONSOBIL";"PC1BILAN",#N/A,TRUE,"BILAN";"PC1BILLOC",#N/A,TRUE,"BILLOC";"PC1DETACTA",#N/A,TRUE,"A";"PC1BILACTIMMO",#N/A,TRUE,"BilAct";"PC1BILACT",#N/A,TRUE,"BilAct";"PC1DETPASSA",#N/A,TRUE,"A";"PC1BILPAS",#N/A,TRUE,"BilPas";"PC1EFFECTIFA",#N/A,TRUE,"A";"PC1EFFECTIF",#N/A,TRUE,"EFFECTIF"}</definedName>
    <definedName name="wrn.pc12_1_2" hidden="1">{"PC1EXPGENA",#N/A,TRUE,"A";"PC1CONSOEXP",#N/A,TRUE,"CONSOEXP";"PC1TOTEXPBMTP",#N/A,TRUE,"TOT";"PC1LOCEXPLOC",#N/A,TRUE,"LOC";"PC1TOTVTEA",#N/A,TRUE,"A";"PC1VTE",#N/A,TRUE,"VTE";"PC1VTENF",#N/A,TRUE,"VteNF";"PC1VTEOCC",#N/A,TRUE,"VteOCC";"PC1DVAV",#N/A,TRUE,"DVA";"PC1ANNMKVA",#N/A,TRUE,"A";"PC1MKV",#N/A,TRUE,"MKV";"PC1TOTSAVA",#N/A,TRUE,"A";"PC1MKA",#N/A,TRUE,"MKA";"PC1SAV",#N/A,TRUE,"SAV";"PC1SAV2",#N/A,TRUE,"Sav2";"PC1DVAA",#N/A,TRUE,"DVA";"PC1TOTFRAISA",#N/A,TRUE,"A";"PC1FRXFRAIS",#N/A,TRUE,"FRX";"PC1GAR",#N/A,TRUE,"GAR";"PC1ACTLOCA",#N/A,TRUE,"A";"PC1LOCACTLOCECO",#N/A,TRUE,"LOC";"PC1ACTAUTRETERA",#N/A,TRUE,"A";"PC1ACTIVAT1",#N/A,TRUE,"ActivAT";"PC1ACTIVAT2",#N/A,TRUE,"ActivAT";"PC1ACTIVAT3",#N/A,TRUE,"ActivAT";"PC1HEXA",#N/A,TRUE,"A";"PC1HEX",#N/A,TRUE,"HEX";"PC1BILANA",#N/A,TRUE,"A";"PC1CONSOBIL",#N/A,TRUE,"CONSOBIL";"PC1BILAN",#N/A,TRUE,"BILAN";"PC1BILLOC",#N/A,TRUE,"BILLOC";"PC1DETACTA",#N/A,TRUE,"A";"PC1BILACTIMMO",#N/A,TRUE,"BilAct";"PC1BILACT",#N/A,TRUE,"BilAct";"PC1DETPASSA",#N/A,TRUE,"A";"PC1BILPAS",#N/A,TRUE,"BilPas";"PC1EFFECTIFA",#N/A,TRUE,"A";"PC1EFFECTIF",#N/A,TRUE,"EFFECTIF"}</definedName>
    <definedName name="wrn.pc12_1_3" hidden="1">{"PC1EXPGENA",#N/A,TRUE,"A";"PC1CONSOEXP",#N/A,TRUE,"CONSOEXP";"PC1TOTEXPBMTP",#N/A,TRUE,"TOT";"PC1LOCEXPLOC",#N/A,TRUE,"LOC";"PC1TOTVTEA",#N/A,TRUE,"A";"PC1VTE",#N/A,TRUE,"VTE";"PC1VTENF",#N/A,TRUE,"VteNF";"PC1VTEOCC",#N/A,TRUE,"VteOCC";"PC1DVAV",#N/A,TRUE,"DVA";"PC1ANNMKVA",#N/A,TRUE,"A";"PC1MKV",#N/A,TRUE,"MKV";"PC1TOTSAVA",#N/A,TRUE,"A";"PC1MKA",#N/A,TRUE,"MKA";"PC1SAV",#N/A,TRUE,"SAV";"PC1SAV2",#N/A,TRUE,"Sav2";"PC1DVAA",#N/A,TRUE,"DVA";"PC1TOTFRAISA",#N/A,TRUE,"A";"PC1FRXFRAIS",#N/A,TRUE,"FRX";"PC1GAR",#N/A,TRUE,"GAR";"PC1ACTLOCA",#N/A,TRUE,"A";"PC1LOCACTLOCECO",#N/A,TRUE,"LOC";"PC1ACTAUTRETERA",#N/A,TRUE,"A";"PC1ACTIVAT1",#N/A,TRUE,"ActivAT";"PC1ACTIVAT2",#N/A,TRUE,"ActivAT";"PC1ACTIVAT3",#N/A,TRUE,"ActivAT";"PC1HEXA",#N/A,TRUE,"A";"PC1HEX",#N/A,TRUE,"HEX";"PC1BILANA",#N/A,TRUE,"A";"PC1CONSOBIL",#N/A,TRUE,"CONSOBIL";"PC1BILAN",#N/A,TRUE,"BILAN";"PC1BILLOC",#N/A,TRUE,"BILLOC";"PC1DETACTA",#N/A,TRUE,"A";"PC1BILACTIMMO",#N/A,TRUE,"BilAct";"PC1BILACT",#N/A,TRUE,"BilAct";"PC1DETPASSA",#N/A,TRUE,"A";"PC1BILPAS",#N/A,TRUE,"BilPas";"PC1EFFECTIFA",#N/A,TRUE,"A";"PC1EFFECTIF",#N/A,TRUE,"EFFECTIF"}</definedName>
    <definedName name="wrn.pc12_2" hidden="1">{"PC1EXPGENA",#N/A,TRUE,"A";"PC1CONSOEXP",#N/A,TRUE,"CONSOEXP";"PC1TOTEXPBMTP",#N/A,TRUE,"TOT";"PC1LOCEXPLOC",#N/A,TRUE,"LOC";"PC1TOTVTEA",#N/A,TRUE,"A";"PC1VTE",#N/A,TRUE,"VTE";"PC1VTENF",#N/A,TRUE,"VteNF";"PC1VTEOCC",#N/A,TRUE,"VteOCC";"PC1DVAV",#N/A,TRUE,"DVA";"PC1ANNMKVA",#N/A,TRUE,"A";"PC1MKV",#N/A,TRUE,"MKV";"PC1TOTSAVA",#N/A,TRUE,"A";"PC1MKA",#N/A,TRUE,"MKA";"PC1SAV",#N/A,TRUE,"SAV";"PC1SAV2",#N/A,TRUE,"Sav2";"PC1DVAA",#N/A,TRUE,"DVA";"PC1TOTFRAISA",#N/A,TRUE,"A";"PC1FRXFRAIS",#N/A,TRUE,"FRX";"PC1GAR",#N/A,TRUE,"GAR";"PC1ACTLOCA",#N/A,TRUE,"A";"PC1LOCACTLOCECO",#N/A,TRUE,"LOC";"PC1ACTAUTRETERA",#N/A,TRUE,"A";"PC1ACTIVAT1",#N/A,TRUE,"ActivAT";"PC1ACTIVAT2",#N/A,TRUE,"ActivAT";"PC1ACTIVAT3",#N/A,TRUE,"ActivAT";"PC1HEXA",#N/A,TRUE,"A";"PC1HEX",#N/A,TRUE,"HEX";"PC1BILANA",#N/A,TRUE,"A";"PC1CONSOBIL",#N/A,TRUE,"CONSOBIL";"PC1BILAN",#N/A,TRUE,"BILAN";"PC1BILLOC",#N/A,TRUE,"BILLOC";"PC1DETACTA",#N/A,TRUE,"A";"PC1BILACTIMMO",#N/A,TRUE,"BilAct";"PC1BILACT",#N/A,TRUE,"BilAct";"PC1DETPASSA",#N/A,TRUE,"A";"PC1BILPAS",#N/A,TRUE,"BilPas";"PC1EFFECTIFA",#N/A,TRUE,"A";"PC1EFFECTIF",#N/A,TRUE,"EFFECTIF"}</definedName>
    <definedName name="wrn.pc12_2_1" hidden="1">{"PC1EXPGENA",#N/A,TRUE,"A";"PC1CONSOEXP",#N/A,TRUE,"CONSOEXP";"PC1TOTEXPBMTP",#N/A,TRUE,"TOT";"PC1LOCEXPLOC",#N/A,TRUE,"LOC";"PC1TOTVTEA",#N/A,TRUE,"A";"PC1VTE",#N/A,TRUE,"VTE";"PC1VTENF",#N/A,TRUE,"VteNF";"PC1VTEOCC",#N/A,TRUE,"VteOCC";"PC1DVAV",#N/A,TRUE,"DVA";"PC1ANNMKVA",#N/A,TRUE,"A";"PC1MKV",#N/A,TRUE,"MKV";"PC1TOTSAVA",#N/A,TRUE,"A";"PC1MKA",#N/A,TRUE,"MKA";"PC1SAV",#N/A,TRUE,"SAV";"PC1SAV2",#N/A,TRUE,"Sav2";"PC1DVAA",#N/A,TRUE,"DVA";"PC1TOTFRAISA",#N/A,TRUE,"A";"PC1FRXFRAIS",#N/A,TRUE,"FRX";"PC1GAR",#N/A,TRUE,"GAR";"PC1ACTLOCA",#N/A,TRUE,"A";"PC1LOCACTLOCECO",#N/A,TRUE,"LOC";"PC1ACTAUTRETERA",#N/A,TRUE,"A";"PC1ACTIVAT1",#N/A,TRUE,"ActivAT";"PC1ACTIVAT2",#N/A,TRUE,"ActivAT";"PC1ACTIVAT3",#N/A,TRUE,"ActivAT";"PC1HEXA",#N/A,TRUE,"A";"PC1HEX",#N/A,TRUE,"HEX";"PC1BILANA",#N/A,TRUE,"A";"PC1CONSOBIL",#N/A,TRUE,"CONSOBIL";"PC1BILAN",#N/A,TRUE,"BILAN";"PC1BILLOC",#N/A,TRUE,"BILLOC";"PC1DETACTA",#N/A,TRUE,"A";"PC1BILACTIMMO",#N/A,TRUE,"BilAct";"PC1BILACT",#N/A,TRUE,"BilAct";"PC1DETPASSA",#N/A,TRUE,"A";"PC1BILPAS",#N/A,TRUE,"BilPas";"PC1EFFECTIFA",#N/A,TRUE,"A";"PC1EFFECTIF",#N/A,TRUE,"EFFECTIF"}</definedName>
    <definedName name="wrn.pc12_2_2" hidden="1">{"PC1EXPGENA",#N/A,TRUE,"A";"PC1CONSOEXP",#N/A,TRUE,"CONSOEXP";"PC1TOTEXPBMTP",#N/A,TRUE,"TOT";"PC1LOCEXPLOC",#N/A,TRUE,"LOC";"PC1TOTVTEA",#N/A,TRUE,"A";"PC1VTE",#N/A,TRUE,"VTE";"PC1VTENF",#N/A,TRUE,"VteNF";"PC1VTEOCC",#N/A,TRUE,"VteOCC";"PC1DVAV",#N/A,TRUE,"DVA";"PC1ANNMKVA",#N/A,TRUE,"A";"PC1MKV",#N/A,TRUE,"MKV";"PC1TOTSAVA",#N/A,TRUE,"A";"PC1MKA",#N/A,TRUE,"MKA";"PC1SAV",#N/A,TRUE,"SAV";"PC1SAV2",#N/A,TRUE,"Sav2";"PC1DVAA",#N/A,TRUE,"DVA";"PC1TOTFRAISA",#N/A,TRUE,"A";"PC1FRXFRAIS",#N/A,TRUE,"FRX";"PC1GAR",#N/A,TRUE,"GAR";"PC1ACTLOCA",#N/A,TRUE,"A";"PC1LOCACTLOCECO",#N/A,TRUE,"LOC";"PC1ACTAUTRETERA",#N/A,TRUE,"A";"PC1ACTIVAT1",#N/A,TRUE,"ActivAT";"PC1ACTIVAT2",#N/A,TRUE,"ActivAT";"PC1ACTIVAT3",#N/A,TRUE,"ActivAT";"PC1HEXA",#N/A,TRUE,"A";"PC1HEX",#N/A,TRUE,"HEX";"PC1BILANA",#N/A,TRUE,"A";"PC1CONSOBIL",#N/A,TRUE,"CONSOBIL";"PC1BILAN",#N/A,TRUE,"BILAN";"PC1BILLOC",#N/A,TRUE,"BILLOC";"PC1DETACTA",#N/A,TRUE,"A";"PC1BILACTIMMO",#N/A,TRUE,"BilAct";"PC1BILACT",#N/A,TRUE,"BilAct";"PC1DETPASSA",#N/A,TRUE,"A";"PC1BILPAS",#N/A,TRUE,"BilPas";"PC1EFFECTIFA",#N/A,TRUE,"A";"PC1EFFECTIF",#N/A,TRUE,"EFFECTIF"}</definedName>
    <definedName name="wrn.pc12_3" hidden="1">{"PC1EXPGENA",#N/A,TRUE,"A";"PC1CONSOEXP",#N/A,TRUE,"CONSOEXP";"PC1TOTEXPBMTP",#N/A,TRUE,"TOT";"PC1LOCEXPLOC",#N/A,TRUE,"LOC";"PC1TOTVTEA",#N/A,TRUE,"A";"PC1VTE",#N/A,TRUE,"VTE";"PC1VTENF",#N/A,TRUE,"VteNF";"PC1VTEOCC",#N/A,TRUE,"VteOCC";"PC1DVAV",#N/A,TRUE,"DVA";"PC1ANNMKVA",#N/A,TRUE,"A";"PC1MKV",#N/A,TRUE,"MKV";"PC1TOTSAVA",#N/A,TRUE,"A";"PC1MKA",#N/A,TRUE,"MKA";"PC1SAV",#N/A,TRUE,"SAV";"PC1SAV2",#N/A,TRUE,"Sav2";"PC1DVAA",#N/A,TRUE,"DVA";"PC1TOTFRAISA",#N/A,TRUE,"A";"PC1FRXFRAIS",#N/A,TRUE,"FRX";"PC1GAR",#N/A,TRUE,"GAR";"PC1ACTLOCA",#N/A,TRUE,"A";"PC1LOCACTLOCECO",#N/A,TRUE,"LOC";"PC1ACTAUTRETERA",#N/A,TRUE,"A";"PC1ACTIVAT1",#N/A,TRUE,"ActivAT";"PC1ACTIVAT2",#N/A,TRUE,"ActivAT";"PC1ACTIVAT3",#N/A,TRUE,"ActivAT";"PC1HEXA",#N/A,TRUE,"A";"PC1HEX",#N/A,TRUE,"HEX";"PC1BILANA",#N/A,TRUE,"A";"PC1CONSOBIL",#N/A,TRUE,"CONSOBIL";"PC1BILAN",#N/A,TRUE,"BILAN";"PC1BILLOC",#N/A,TRUE,"BILLOC";"PC1DETACTA",#N/A,TRUE,"A";"PC1BILACTIMMO",#N/A,TRUE,"BilAct";"PC1BILACT",#N/A,TRUE,"BilAct";"PC1DETPASSA",#N/A,TRUE,"A";"PC1BILPAS",#N/A,TRUE,"BilPas";"PC1EFFECTIFA",#N/A,TRUE,"A";"PC1EFFECTIF",#N/A,TRUE,"EFFECTIF"}</definedName>
    <definedName name="wrn.pc12_4" hidden="1">{"PC1EXPGENA",#N/A,TRUE,"A";"PC1CONSOEXP",#N/A,TRUE,"CONSOEXP";"PC1TOTEXPBMTP",#N/A,TRUE,"TOT";"PC1LOCEXPLOC",#N/A,TRUE,"LOC";"PC1TOTVTEA",#N/A,TRUE,"A";"PC1VTE",#N/A,TRUE,"VTE";"PC1VTENF",#N/A,TRUE,"VteNF";"PC1VTEOCC",#N/A,TRUE,"VteOCC";"PC1DVAV",#N/A,TRUE,"DVA";"PC1ANNMKVA",#N/A,TRUE,"A";"PC1MKV",#N/A,TRUE,"MKV";"PC1TOTSAVA",#N/A,TRUE,"A";"PC1MKA",#N/A,TRUE,"MKA";"PC1SAV",#N/A,TRUE,"SAV";"PC1SAV2",#N/A,TRUE,"Sav2";"PC1DVAA",#N/A,TRUE,"DVA";"PC1TOTFRAISA",#N/A,TRUE,"A";"PC1FRXFRAIS",#N/A,TRUE,"FRX";"PC1GAR",#N/A,TRUE,"GAR";"PC1ACTLOCA",#N/A,TRUE,"A";"PC1LOCACTLOCECO",#N/A,TRUE,"LOC";"PC1ACTAUTRETERA",#N/A,TRUE,"A";"PC1ACTIVAT1",#N/A,TRUE,"ActivAT";"PC1ACTIVAT2",#N/A,TRUE,"ActivAT";"PC1ACTIVAT3",#N/A,TRUE,"ActivAT";"PC1HEXA",#N/A,TRUE,"A";"PC1HEX",#N/A,TRUE,"HEX";"PC1BILANA",#N/A,TRUE,"A";"PC1CONSOBIL",#N/A,TRUE,"CONSOBIL";"PC1BILAN",#N/A,TRUE,"BILAN";"PC1BILLOC",#N/A,TRUE,"BILLOC";"PC1DETACTA",#N/A,TRUE,"A";"PC1BILACTIMMO",#N/A,TRUE,"BilAct";"PC1BILACT",#N/A,TRUE,"BilAct";"PC1DETPASSA",#N/A,TRUE,"A";"PC1BILPAS",#N/A,TRUE,"BilPas";"PC1EFFECTIFA",#N/A,TRUE,"A";"PC1EFFECTIF",#N/A,TRUE,"EFFECTIF"}</definedName>
    <definedName name="xCentre_Profit">Accueil!$D$7</definedName>
    <definedName name="xIndicateur">Accueil!$D$9</definedName>
    <definedName name="xPeriode">Accueil!$D$5</definedName>
  </definedNames>
  <calcPr calcId="191028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7" i="3" l="1"/>
  <c r="J46" i="3"/>
  <c r="J45" i="3"/>
  <c r="J44" i="3"/>
  <c r="J38" i="3"/>
  <c r="J37" i="3"/>
  <c r="J36" i="3"/>
  <c r="J35" i="3"/>
  <c r="J34" i="3"/>
  <c r="J33" i="3"/>
  <c r="J32" i="3"/>
  <c r="J31" i="3"/>
  <c r="J30" i="3"/>
  <c r="J29" i="3"/>
  <c r="J28" i="3"/>
  <c r="J27" i="3"/>
  <c r="J26" i="3"/>
  <c r="J25" i="3"/>
  <c r="J24" i="3"/>
  <c r="J23" i="3"/>
  <c r="J22" i="3"/>
  <c r="J21" i="3"/>
  <c r="J20" i="3"/>
  <c r="J19" i="3"/>
  <c r="J18" i="3"/>
  <c r="J17" i="3"/>
  <c r="J15" i="3"/>
  <c r="F44" i="3"/>
  <c r="F43" i="3"/>
  <c r="F13" i="3"/>
  <c r="F12" i="3"/>
  <c r="F11" i="3"/>
  <c r="D5" i="14" a="1"/>
  <c r="D9" i="14" a="1"/>
  <c r="D7" i="14" a="1"/>
  <c r="D5" i="14" l="1"/>
  <c r="D7" i="14"/>
  <c r="D3" i="3" s="1"/>
  <c r="D9" i="14"/>
  <c r="H48" i="3"/>
  <c r="H49" i="3"/>
  <c r="D49" i="3"/>
  <c r="D35" i="3"/>
  <c r="D31" i="3"/>
  <c r="D25" i="3"/>
  <c r="D18" i="3"/>
  <c r="D14" i="3"/>
  <c r="E18" i="3" a="1"/>
  <c r="E25" i="3" a="1"/>
  <c r="E31" i="3" a="1"/>
  <c r="E35" i="3" a="1"/>
  <c r="E48" i="3" a="1"/>
  <c r="E49" i="3" a="1"/>
  <c r="E51" i="3" a="1"/>
  <c r="O11" i="3" a="1"/>
  <c r="I42" i="3" a="1"/>
  <c r="I39" i="3" a="1"/>
  <c r="E45" i="3" a="1"/>
  <c r="I51" i="3" a="1"/>
  <c r="E50" i="3" a="1"/>
  <c r="I40" i="3" a="1"/>
  <c r="I14" i="3" a="1"/>
  <c r="I41" i="3" a="1"/>
  <c r="I50" i="3" a="1"/>
  <c r="I52" i="3" a="1"/>
  <c r="E46" i="3" a="1"/>
  <c r="E47" i="3" a="1"/>
  <c r="E52" i="3" a="1"/>
  <c r="I16" i="3" a="1"/>
  <c r="E14" i="3" a="1"/>
  <c r="E42" i="3" a="1"/>
  <c r="E41" i="3" a="1"/>
  <c r="E40" i="3" a="1"/>
  <c r="E39" i="3" a="1"/>
  <c r="E38" i="3" a="1"/>
  <c r="E37" i="3" a="1"/>
  <c r="E36" i="3" a="1"/>
  <c r="E34" i="3" a="1"/>
  <c r="E32" i="3" a="1"/>
  <c r="E33" i="3" a="1"/>
  <c r="E30" i="3" a="1"/>
  <c r="E29" i="3" a="1"/>
  <c r="E28" i="3" a="1"/>
  <c r="E27" i="3" a="1"/>
  <c r="E26" i="3" a="1"/>
  <c r="E24" i="3" a="1"/>
  <c r="E23" i="3" a="1"/>
  <c r="E22" i="3" a="1"/>
  <c r="E21" i="3" a="1"/>
  <c r="E20" i="3" a="1"/>
  <c r="E17" i="3" a="1"/>
  <c r="E19" i="3" a="1"/>
  <c r="E16" i="3" a="1"/>
  <c r="E15" i="3" a="1"/>
  <c r="G3" i="3" l="1"/>
  <c r="I3" i="3"/>
  <c r="O11" i="3"/>
  <c r="E51" i="3"/>
  <c r="E49" i="3"/>
  <c r="E48" i="3"/>
  <c r="E35" i="3"/>
  <c r="E31" i="3"/>
  <c r="E25" i="3"/>
  <c r="F25" i="3" s="1"/>
  <c r="E18" i="3"/>
  <c r="E15" i="3"/>
  <c r="F15" i="3" s="1"/>
  <c r="E16" i="3"/>
  <c r="F16" i="3" s="1"/>
  <c r="E19" i="3"/>
  <c r="F19" i="3" s="1"/>
  <c r="E17" i="3"/>
  <c r="F17" i="3" s="1"/>
  <c r="E20" i="3"/>
  <c r="F20" i="3" s="1"/>
  <c r="E21" i="3"/>
  <c r="F21" i="3" s="1"/>
  <c r="E22" i="3"/>
  <c r="F22" i="3" s="1"/>
  <c r="E23" i="3"/>
  <c r="F23" i="3" s="1"/>
  <c r="E24" i="3"/>
  <c r="F24" i="3" s="1"/>
  <c r="E26" i="3"/>
  <c r="F26" i="3" s="1"/>
  <c r="E27" i="3"/>
  <c r="F27" i="3" s="1"/>
  <c r="E28" i="3"/>
  <c r="F28" i="3" s="1"/>
  <c r="E29" i="3"/>
  <c r="F29" i="3" s="1"/>
  <c r="E30" i="3"/>
  <c r="F30" i="3" s="1"/>
  <c r="E33" i="3"/>
  <c r="F33" i="3" s="1"/>
  <c r="E32" i="3"/>
  <c r="E34" i="3"/>
  <c r="F34" i="3" s="1"/>
  <c r="E36" i="3"/>
  <c r="E37" i="3"/>
  <c r="F37" i="3" s="1"/>
  <c r="E38" i="3"/>
  <c r="F38" i="3" s="1"/>
  <c r="E39" i="3"/>
  <c r="F39" i="3" s="1"/>
  <c r="E40" i="3"/>
  <c r="E41" i="3"/>
  <c r="F41" i="3" s="1"/>
  <c r="E42" i="3"/>
  <c r="F42" i="3" s="1"/>
  <c r="E14" i="3"/>
  <c r="F14" i="3" s="1"/>
  <c r="I16" i="3"/>
  <c r="J16" i="3" s="1"/>
  <c r="E52" i="3"/>
  <c r="E47" i="3"/>
  <c r="F47" i="3" s="1"/>
  <c r="E46" i="3"/>
  <c r="F46" i="3" s="1"/>
  <c r="I52" i="3"/>
  <c r="J52" i="3" s="1"/>
  <c r="I50" i="3"/>
  <c r="J50" i="3" s="1"/>
  <c r="I41" i="3"/>
  <c r="J41" i="3" s="1"/>
  <c r="I14" i="3"/>
  <c r="J14" i="3" s="1"/>
  <c r="I40" i="3"/>
  <c r="J40" i="3" s="1"/>
  <c r="E50" i="3"/>
  <c r="F50" i="3" s="1"/>
  <c r="I51" i="3"/>
  <c r="J51" i="3" s="1"/>
  <c r="E45" i="3"/>
  <c r="F45" i="3" s="1"/>
  <c r="I39" i="3"/>
  <c r="J39" i="3" s="1"/>
  <c r="I42" i="3"/>
  <c r="J42" i="3" s="1"/>
  <c r="D48" i="3"/>
  <c r="D53" i="3" s="1"/>
  <c r="H53" i="3"/>
  <c r="F35" i="3" l="1"/>
  <c r="F31" i="3"/>
  <c r="F18" i="3"/>
  <c r="F32" i="3"/>
  <c r="F36" i="3"/>
  <c r="F49" i="3"/>
  <c r="I48" i="3"/>
  <c r="J48" i="3" s="1"/>
  <c r="J49" i="3"/>
  <c r="E53" i="3" l="1"/>
  <c r="I53" i="3"/>
  <c r="J53" i="3" s="1"/>
  <c r="I54" i="3" l="1"/>
  <c r="E54" i="3"/>
  <c r="F48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<sst xmlns="http://schemas.openxmlformats.org/spreadsheetml/2006/main" count="1290" uniqueCount="1281">
  <si>
    <t>10_TOT</t>
  </si>
  <si>
    <t>10_CHAR</t>
  </si>
  <si>
    <t xml:space="preserve">I. Charges directes affectées à l’action </t>
  </si>
  <si>
    <t>10_ACHAT</t>
  </si>
  <si>
    <t xml:space="preserve">60 – Achat </t>
  </si>
  <si>
    <t>CRF_010</t>
  </si>
  <si>
    <t xml:space="preserve">Prestations de services </t>
  </si>
  <si>
    <t>CRF_020</t>
  </si>
  <si>
    <t xml:space="preserve">Achats matières et fournitures </t>
  </si>
  <si>
    <t>CRF_030</t>
  </si>
  <si>
    <t xml:space="preserve">Autres fournitures </t>
  </si>
  <si>
    <t>20_SERV</t>
  </si>
  <si>
    <t xml:space="preserve">61 - Services extérieurs </t>
  </si>
  <si>
    <t>CRF_040</t>
  </si>
  <si>
    <t xml:space="preserve">Locations </t>
  </si>
  <si>
    <t>CRF_050</t>
  </si>
  <si>
    <t xml:space="preserve">Entretien et réparation </t>
  </si>
  <si>
    <t>CRF_060</t>
  </si>
  <si>
    <t xml:space="preserve">Assurance </t>
  </si>
  <si>
    <t>CRF_070</t>
  </si>
  <si>
    <t>Prestations médicales</t>
  </si>
  <si>
    <t>CRF_080</t>
  </si>
  <si>
    <t xml:space="preserve">Documentation, autres </t>
  </si>
  <si>
    <t>CRF_090</t>
  </si>
  <si>
    <t>Divers</t>
  </si>
  <si>
    <t>30_AUTR</t>
  </si>
  <si>
    <t xml:space="preserve">62 - Autres services extérieurs </t>
  </si>
  <si>
    <t>CRF_100</t>
  </si>
  <si>
    <t xml:space="preserve">Rémunérations intermédiaires et honoraires </t>
  </si>
  <si>
    <t>CRF_110</t>
  </si>
  <si>
    <t xml:space="preserve">Publicité, publication </t>
  </si>
  <si>
    <t>CRF_120</t>
  </si>
  <si>
    <t xml:space="preserve">Déplacements, missions </t>
  </si>
  <si>
    <t>CRF_130</t>
  </si>
  <si>
    <t xml:space="preserve">Services bancaires, autres </t>
  </si>
  <si>
    <t>CRF_140</t>
  </si>
  <si>
    <t>Frais postaux et télécommunication</t>
  </si>
  <si>
    <t>40_IMP</t>
  </si>
  <si>
    <t xml:space="preserve">63 - Impôts et taxes </t>
  </si>
  <si>
    <t>CRF_150</t>
  </si>
  <si>
    <t xml:space="preserve">Impôts et taxes sur rémunération, </t>
  </si>
  <si>
    <t>CRF_160</t>
  </si>
  <si>
    <t xml:space="preserve">Autres impôts et taxes </t>
  </si>
  <si>
    <t>CRF_170</t>
  </si>
  <si>
    <t>TVA</t>
  </si>
  <si>
    <t>50_CHAR</t>
  </si>
  <si>
    <t xml:space="preserve">64- Charges de personnel </t>
  </si>
  <si>
    <t>CRF_180</t>
  </si>
  <si>
    <t xml:space="preserve">Rémunération des personnels, </t>
  </si>
  <si>
    <t>CRF_190</t>
  </si>
  <si>
    <t xml:space="preserve">Charges sociales, </t>
  </si>
  <si>
    <t>CRF_200</t>
  </si>
  <si>
    <t xml:space="preserve">Autres charges de personnel </t>
  </si>
  <si>
    <t xml:space="preserve">65- Autres charges de gestion courante </t>
  </si>
  <si>
    <t>CRF_210</t>
  </si>
  <si>
    <t xml:space="preserve">66- Charges financières </t>
  </si>
  <si>
    <t>CRF_220</t>
  </si>
  <si>
    <t xml:space="preserve">67- Charges exceptionnelles </t>
  </si>
  <si>
    <t>CRF_230</t>
  </si>
  <si>
    <t>68- Dotation aux amortissements</t>
  </si>
  <si>
    <t>CRF_240</t>
  </si>
  <si>
    <t>II. Charges indirectes affectées à l'action</t>
  </si>
  <si>
    <t xml:space="preserve">Charges fixes de fonctionnement </t>
  </si>
  <si>
    <t>CRF_250</t>
  </si>
  <si>
    <t xml:space="preserve">Frais financiers </t>
  </si>
  <si>
    <t>CRF_260</t>
  </si>
  <si>
    <t xml:space="preserve">Autres </t>
  </si>
  <si>
    <t>130_EMPL</t>
  </si>
  <si>
    <t xml:space="preserve">86- Emplois des contributions volontaires en nature </t>
  </si>
  <si>
    <t>CRF_270</t>
  </si>
  <si>
    <t xml:space="preserve">Secours en nature </t>
  </si>
  <si>
    <t>CRF_280</t>
  </si>
  <si>
    <t xml:space="preserve">Mise à disposition gratuite de biens et prestations </t>
  </si>
  <si>
    <t>CRF_290</t>
  </si>
  <si>
    <t xml:space="preserve">Personnel bénévole </t>
  </si>
  <si>
    <t>20_TOT</t>
  </si>
  <si>
    <t>20_PROD</t>
  </si>
  <si>
    <t xml:space="preserve">I. Ressources directes affectées à l’action </t>
  </si>
  <si>
    <t xml:space="preserve">70 – Vente de produits finis, prestations de services, marchandises </t>
  </si>
  <si>
    <t>CRF_300</t>
  </si>
  <si>
    <t xml:space="preserve">74- Subventions d’exploitation(1) </t>
  </si>
  <si>
    <t>CRF_310</t>
  </si>
  <si>
    <t xml:space="preserve">75 - Autres produits de gestion courante </t>
  </si>
  <si>
    <t>CRF_320</t>
  </si>
  <si>
    <t xml:space="preserve">76 - Produits financiers </t>
  </si>
  <si>
    <t>CRF_330</t>
  </si>
  <si>
    <t xml:space="preserve">77 - Produits exceptionnels </t>
  </si>
  <si>
    <t>CRF_340</t>
  </si>
  <si>
    <t>78 – Reprises sur amortissements et provisions</t>
  </si>
  <si>
    <t>CRF_350</t>
  </si>
  <si>
    <t>II . Ressources indirectes affectées à l'action</t>
  </si>
  <si>
    <t>210_CVEN</t>
  </si>
  <si>
    <t xml:space="preserve">87 - Contributions volontaires en nature </t>
  </si>
  <si>
    <t>CRF_360</t>
  </si>
  <si>
    <t xml:space="preserve">Bénévolat </t>
  </si>
  <si>
    <t>CRF_370</t>
  </si>
  <si>
    <t xml:space="preserve">Prestations en nature </t>
  </si>
  <si>
    <t>CRF_380</t>
  </si>
  <si>
    <t xml:space="preserve">Dons en nature </t>
  </si>
  <si>
    <t>CENTRE PROFIT</t>
  </si>
  <si>
    <t>ANNEE</t>
  </si>
  <si>
    <t>MOIS</t>
  </si>
  <si>
    <t>Colonne A "Centre de profit"</t>
  </si>
  <si>
    <t>Colonne S "Date comptable"</t>
  </si>
  <si>
    <r>
      <t>6-</t>
    </r>
    <r>
      <rPr>
        <b/>
        <sz val="28"/>
        <color indexed="43"/>
        <rFont val="Arial"/>
        <family val="2"/>
      </rPr>
      <t xml:space="preserve">1. </t>
    </r>
    <r>
      <rPr>
        <sz val="28"/>
        <color indexed="18"/>
        <rFont val="Franklin Gothic Medium Cond"/>
        <family val="2"/>
      </rPr>
      <t>Compte rendu financier de l’action</t>
    </r>
  </si>
  <si>
    <t>Cette fiche est à détacher et à retourner dans les 6 mois suivant la fin de l’exercice pour lequel la subvention a été accordée. Elle doit obligatoirement être établie, avant toute nouvelle demande de subvention. Vous pouvez ne renseigner que les cases grises si le budget prévisionnel de l’action projetée a été présenté sous cette forme.</t>
  </si>
  <si>
    <t xml:space="preserve">CHARGES </t>
  </si>
  <si>
    <t>Prévisions</t>
  </si>
  <si>
    <t>Réalisation</t>
  </si>
  <si>
    <t>%</t>
  </si>
  <si>
    <t xml:space="preserve">PRODUITS </t>
  </si>
  <si>
    <t>BUDGET_EXEC</t>
  </si>
  <si>
    <t>REEL</t>
  </si>
  <si>
    <t/>
  </si>
  <si>
    <t xml:space="preserve">Total des charges </t>
  </si>
  <si>
    <t xml:space="preserve">Total des produits </t>
  </si>
  <si>
    <t>CRF_390</t>
  </si>
  <si>
    <t xml:space="preserve">TOTAL </t>
  </si>
  <si>
    <t>Résultat excédentaire</t>
  </si>
  <si>
    <t>Résultat déficitaire</t>
  </si>
  <si>
    <t>C509</t>
  </si>
  <si>
    <t>F035</t>
  </si>
  <si>
    <t>La TVA dans le CP est à ajouter dans le montant de subvention et également à reporter dans les charges.</t>
  </si>
  <si>
    <t>= uniquement pour les CP assujetis à la TVA sur la base de la table KE5X à venir</t>
  </si>
  <si>
    <t>Total_Centre_Profit</t>
  </si>
  <si>
    <t>000AHEBE</t>
  </si>
  <si>
    <t>A001</t>
  </si>
  <si>
    <t>A002</t>
  </si>
  <si>
    <t>A003</t>
  </si>
  <si>
    <t>A004</t>
  </si>
  <si>
    <t>A005</t>
  </si>
  <si>
    <t>A016</t>
  </si>
  <si>
    <t>A021</t>
  </si>
  <si>
    <t>A023</t>
  </si>
  <si>
    <t>A026</t>
  </si>
  <si>
    <t>A027</t>
  </si>
  <si>
    <t>A030</t>
  </si>
  <si>
    <t>A031</t>
  </si>
  <si>
    <t>A033</t>
  </si>
  <si>
    <t>A035</t>
  </si>
  <si>
    <t>A041</t>
  </si>
  <si>
    <t>A042</t>
  </si>
  <si>
    <t>A043</t>
  </si>
  <si>
    <t>A055</t>
  </si>
  <si>
    <t>A058</t>
  </si>
  <si>
    <t>A059</t>
  </si>
  <si>
    <t>A061</t>
  </si>
  <si>
    <t>A064</t>
  </si>
  <si>
    <t>A066</t>
  </si>
  <si>
    <t>A067</t>
  </si>
  <si>
    <t>A068</t>
  </si>
  <si>
    <t>A074</t>
  </si>
  <si>
    <t>A075</t>
  </si>
  <si>
    <t>A083</t>
  </si>
  <si>
    <t>A084</t>
  </si>
  <si>
    <t>A087</t>
  </si>
  <si>
    <t>A089</t>
  </si>
  <si>
    <t>A093</t>
  </si>
  <si>
    <t>A094</t>
  </si>
  <si>
    <t>A095</t>
  </si>
  <si>
    <t>A099</t>
  </si>
  <si>
    <t>A101</t>
  </si>
  <si>
    <t>A103</t>
  </si>
  <si>
    <t>A104</t>
  </si>
  <si>
    <t>A105</t>
  </si>
  <si>
    <t>A109</t>
  </si>
  <si>
    <t>A113</t>
  </si>
  <si>
    <t>A114</t>
  </si>
  <si>
    <t>A118</t>
  </si>
  <si>
    <t>A120</t>
  </si>
  <si>
    <t>A121</t>
  </si>
  <si>
    <t>A123</t>
  </si>
  <si>
    <t>A124</t>
  </si>
  <si>
    <t>A125</t>
  </si>
  <si>
    <t>A126</t>
  </si>
  <si>
    <t>A127</t>
  </si>
  <si>
    <t>A130</t>
  </si>
  <si>
    <t>A137</t>
  </si>
  <si>
    <t>A138</t>
  </si>
  <si>
    <t>A139</t>
  </si>
  <si>
    <t>A141</t>
  </si>
  <si>
    <t>A142</t>
  </si>
  <si>
    <t>A143</t>
  </si>
  <si>
    <t>A144</t>
  </si>
  <si>
    <t>A147</t>
  </si>
  <si>
    <t>A151</t>
  </si>
  <si>
    <t>A152</t>
  </si>
  <si>
    <t>A153</t>
  </si>
  <si>
    <t>A154</t>
  </si>
  <si>
    <t>A155</t>
  </si>
  <si>
    <t>A156</t>
  </si>
  <si>
    <t>A160</t>
  </si>
  <si>
    <t>A162</t>
  </si>
  <si>
    <t>A164</t>
  </si>
  <si>
    <t>A165</t>
  </si>
  <si>
    <t>A166</t>
  </si>
  <si>
    <t>A167</t>
  </si>
  <si>
    <t>A169</t>
  </si>
  <si>
    <t>A170</t>
  </si>
  <si>
    <t>A172</t>
  </si>
  <si>
    <t>A174</t>
  </si>
  <si>
    <t>A175</t>
  </si>
  <si>
    <t>A176</t>
  </si>
  <si>
    <t>A177</t>
  </si>
  <si>
    <t>A178</t>
  </si>
  <si>
    <t>A179</t>
  </si>
  <si>
    <t>A180</t>
  </si>
  <si>
    <t>A182</t>
  </si>
  <si>
    <t>A183</t>
  </si>
  <si>
    <t>A185</t>
  </si>
  <si>
    <t>A186</t>
  </si>
  <si>
    <t>A187</t>
  </si>
  <si>
    <t>A188</t>
  </si>
  <si>
    <t>A189</t>
  </si>
  <si>
    <t>A190</t>
  </si>
  <si>
    <t>A192</t>
  </si>
  <si>
    <t>A193</t>
  </si>
  <si>
    <t>A194</t>
  </si>
  <si>
    <t>A196</t>
  </si>
  <si>
    <t>A197</t>
  </si>
  <si>
    <t>A198</t>
  </si>
  <si>
    <t>A199</t>
  </si>
  <si>
    <t>A201</t>
  </si>
  <si>
    <t>A202</t>
  </si>
  <si>
    <t>A203</t>
  </si>
  <si>
    <t>A204</t>
  </si>
  <si>
    <t>A205</t>
  </si>
  <si>
    <t>A206</t>
  </si>
  <si>
    <t>A207</t>
  </si>
  <si>
    <t>A208</t>
  </si>
  <si>
    <t>A209</t>
  </si>
  <si>
    <t>A210</t>
  </si>
  <si>
    <t>A212</t>
  </si>
  <si>
    <t>A213</t>
  </si>
  <si>
    <t>A214</t>
  </si>
  <si>
    <t>A215</t>
  </si>
  <si>
    <t>A218</t>
  </si>
  <si>
    <t>A220</t>
  </si>
  <si>
    <t>A221</t>
  </si>
  <si>
    <t>A225</t>
  </si>
  <si>
    <t>A226</t>
  </si>
  <si>
    <t>A228</t>
  </si>
  <si>
    <t>A229</t>
  </si>
  <si>
    <t>A231</t>
  </si>
  <si>
    <t>A232</t>
  </si>
  <si>
    <t>A233</t>
  </si>
  <si>
    <t>A234</t>
  </si>
  <si>
    <t>A235</t>
  </si>
  <si>
    <t>A236</t>
  </si>
  <si>
    <t>A237</t>
  </si>
  <si>
    <t>A238</t>
  </si>
  <si>
    <t>A239</t>
  </si>
  <si>
    <t>A241</t>
  </si>
  <si>
    <t>A242</t>
  </si>
  <si>
    <t>A243</t>
  </si>
  <si>
    <t>A244</t>
  </si>
  <si>
    <t>A251</t>
  </si>
  <si>
    <t>A252</t>
  </si>
  <si>
    <t>A255</t>
  </si>
  <si>
    <t>A256</t>
  </si>
  <si>
    <t>A257</t>
  </si>
  <si>
    <t>A259</t>
  </si>
  <si>
    <t>A260</t>
  </si>
  <si>
    <t>A261</t>
  </si>
  <si>
    <t>A262</t>
  </si>
  <si>
    <t>A263</t>
  </si>
  <si>
    <t>A266</t>
  </si>
  <si>
    <t>A268</t>
  </si>
  <si>
    <t>A272</t>
  </si>
  <si>
    <t>A273</t>
  </si>
  <si>
    <t>A274</t>
  </si>
  <si>
    <t>A275</t>
  </si>
  <si>
    <t>A276</t>
  </si>
  <si>
    <t>A277</t>
  </si>
  <si>
    <t>A278</t>
  </si>
  <si>
    <t>A279</t>
  </si>
  <si>
    <t>A281</t>
  </si>
  <si>
    <t>A282</t>
  </si>
  <si>
    <t>A283</t>
  </si>
  <si>
    <t>A286</t>
  </si>
  <si>
    <t>A287</t>
  </si>
  <si>
    <t>A288</t>
  </si>
  <si>
    <t>A290</t>
  </si>
  <si>
    <t>A291</t>
  </si>
  <si>
    <t>A292</t>
  </si>
  <si>
    <t>A294</t>
  </si>
  <si>
    <t>A295</t>
  </si>
  <si>
    <t>A296</t>
  </si>
  <si>
    <t>A297</t>
  </si>
  <si>
    <t>A298</t>
  </si>
  <si>
    <t>A299</t>
  </si>
  <si>
    <t>A301</t>
  </si>
  <si>
    <t>A302</t>
  </si>
  <si>
    <t>A303</t>
  </si>
  <si>
    <t>A304</t>
  </si>
  <si>
    <t>A305</t>
  </si>
  <si>
    <t>A306</t>
  </si>
  <si>
    <t>A307</t>
  </si>
  <si>
    <t>A308</t>
  </si>
  <si>
    <t>A311</t>
  </si>
  <si>
    <t>A312</t>
  </si>
  <si>
    <t>A313</t>
  </si>
  <si>
    <t>A314</t>
  </si>
  <si>
    <t>A315</t>
  </si>
  <si>
    <t>A316</t>
  </si>
  <si>
    <t>A317</t>
  </si>
  <si>
    <t>A318</t>
  </si>
  <si>
    <t>A319</t>
  </si>
  <si>
    <t>A320</t>
  </si>
  <si>
    <t>A321</t>
  </si>
  <si>
    <t>A322</t>
  </si>
  <si>
    <t>A323</t>
  </si>
  <si>
    <t>A324</t>
  </si>
  <si>
    <t>A325</t>
  </si>
  <si>
    <t>A327</t>
  </si>
  <si>
    <t>A328</t>
  </si>
  <si>
    <t>A329</t>
  </si>
  <si>
    <t>A330</t>
  </si>
  <si>
    <t>A331</t>
  </si>
  <si>
    <t>A332</t>
  </si>
  <si>
    <t>A333</t>
  </si>
  <si>
    <t>A334</t>
  </si>
  <si>
    <t>A335</t>
  </si>
  <si>
    <t>A336</t>
  </si>
  <si>
    <t>A337</t>
  </si>
  <si>
    <t>A338</t>
  </si>
  <si>
    <t>A339</t>
  </si>
  <si>
    <t>A340</t>
  </si>
  <si>
    <t>A341</t>
  </si>
  <si>
    <t>A342</t>
  </si>
  <si>
    <t>A343</t>
  </si>
  <si>
    <t>A344</t>
  </si>
  <si>
    <t>A345</t>
  </si>
  <si>
    <t>A347</t>
  </si>
  <si>
    <t>A348</t>
  </si>
  <si>
    <t>A349</t>
  </si>
  <si>
    <t>A350</t>
  </si>
  <si>
    <t>A351</t>
  </si>
  <si>
    <t>A352</t>
  </si>
  <si>
    <t>A353</t>
  </si>
  <si>
    <t>A354</t>
  </si>
  <si>
    <t>A356</t>
  </si>
  <si>
    <t>A358</t>
  </si>
  <si>
    <t>A371</t>
  </si>
  <si>
    <t>A375</t>
  </si>
  <si>
    <t>A376</t>
  </si>
  <si>
    <t>A377</t>
  </si>
  <si>
    <t>A379</t>
  </si>
  <si>
    <t>A413</t>
  </si>
  <si>
    <t>A414</t>
  </si>
  <si>
    <t>B725070601</t>
  </si>
  <si>
    <t>C001</t>
  </si>
  <si>
    <t>C003</t>
  </si>
  <si>
    <t>C005</t>
  </si>
  <si>
    <t>C006</t>
  </si>
  <si>
    <t>C007</t>
  </si>
  <si>
    <t>C008</t>
  </si>
  <si>
    <t>C009</t>
  </si>
  <si>
    <t>C010</t>
  </si>
  <si>
    <t>C011</t>
  </si>
  <si>
    <t>C012</t>
  </si>
  <si>
    <t>C013</t>
  </si>
  <si>
    <t>C015</t>
  </si>
  <si>
    <t>C016</t>
  </si>
  <si>
    <t>C017</t>
  </si>
  <si>
    <t>C019</t>
  </si>
  <si>
    <t>C020</t>
  </si>
  <si>
    <t>C021</t>
  </si>
  <si>
    <t>C023</t>
  </si>
  <si>
    <t>C026</t>
  </si>
  <si>
    <t>C028</t>
  </si>
  <si>
    <t>C029</t>
  </si>
  <si>
    <t>C030</t>
  </si>
  <si>
    <t>C032</t>
  </si>
  <si>
    <t>C036</t>
  </si>
  <si>
    <t>C037</t>
  </si>
  <si>
    <t>C038</t>
  </si>
  <si>
    <t>C039</t>
  </si>
  <si>
    <t>C040</t>
  </si>
  <si>
    <t>C041</t>
  </si>
  <si>
    <t>C042</t>
  </si>
  <si>
    <t>C045</t>
  </si>
  <si>
    <t>C046</t>
  </si>
  <si>
    <t>C047</t>
  </si>
  <si>
    <t>C048</t>
  </si>
  <si>
    <t>C049</t>
  </si>
  <si>
    <t>C051</t>
  </si>
  <si>
    <t>C054</t>
  </si>
  <si>
    <t>C060</t>
  </si>
  <si>
    <t>C061</t>
  </si>
  <si>
    <t>C063</t>
  </si>
  <si>
    <t>C064</t>
  </si>
  <si>
    <t>C065</t>
  </si>
  <si>
    <t>C067</t>
  </si>
  <si>
    <t>C068</t>
  </si>
  <si>
    <t>C071</t>
  </si>
  <si>
    <t>C072</t>
  </si>
  <si>
    <t>C073</t>
  </si>
  <si>
    <t>C074</t>
  </si>
  <si>
    <t>C076</t>
  </si>
  <si>
    <t>C077</t>
  </si>
  <si>
    <t>C078</t>
  </si>
  <si>
    <t>C080</t>
  </si>
  <si>
    <t>C081</t>
  </si>
  <si>
    <t>C082</t>
  </si>
  <si>
    <t>C085</t>
  </si>
  <si>
    <t>C089</t>
  </si>
  <si>
    <t>C092</t>
  </si>
  <si>
    <t>C094</t>
  </si>
  <si>
    <t>C096</t>
  </si>
  <si>
    <t>C097</t>
  </si>
  <si>
    <t>C098</t>
  </si>
  <si>
    <t>C099</t>
  </si>
  <si>
    <t>C102</t>
  </si>
  <si>
    <t>C104</t>
  </si>
  <si>
    <t>C105</t>
  </si>
  <si>
    <t>C106</t>
  </si>
  <si>
    <t>C109</t>
  </si>
  <si>
    <t>C110</t>
  </si>
  <si>
    <t>C111</t>
  </si>
  <si>
    <t>C112</t>
  </si>
  <si>
    <t>C113</t>
  </si>
  <si>
    <t>C115</t>
  </si>
  <si>
    <t>C119</t>
  </si>
  <si>
    <t>C120</t>
  </si>
  <si>
    <t>C122</t>
  </si>
  <si>
    <t>C124</t>
  </si>
  <si>
    <t>C128</t>
  </si>
  <si>
    <t>C135</t>
  </si>
  <si>
    <t>C136</t>
  </si>
  <si>
    <t>C138</t>
  </si>
  <si>
    <t>C141</t>
  </si>
  <si>
    <t>C145</t>
  </si>
  <si>
    <t>C147</t>
  </si>
  <si>
    <t>C148</t>
  </si>
  <si>
    <t>C153</t>
  </si>
  <si>
    <t>C158</t>
  </si>
  <si>
    <t>C162</t>
  </si>
  <si>
    <t>C167</t>
  </si>
  <si>
    <t>C168</t>
  </si>
  <si>
    <t>C169</t>
  </si>
  <si>
    <t>C170</t>
  </si>
  <si>
    <t>C173</t>
  </si>
  <si>
    <t>C175</t>
  </si>
  <si>
    <t>C177</t>
  </si>
  <si>
    <t>C180</t>
  </si>
  <si>
    <t>C181</t>
  </si>
  <si>
    <t>C182</t>
  </si>
  <si>
    <t>C184</t>
  </si>
  <si>
    <t>C185</t>
  </si>
  <si>
    <t>C186</t>
  </si>
  <si>
    <t>C187</t>
  </si>
  <si>
    <t>C188</t>
  </si>
  <si>
    <t>C189</t>
  </si>
  <si>
    <t>C190</t>
  </si>
  <si>
    <t>C191</t>
  </si>
  <si>
    <t>C193</t>
  </si>
  <si>
    <t>C194</t>
  </si>
  <si>
    <t>C195</t>
  </si>
  <si>
    <t>C196</t>
  </si>
  <si>
    <t>C199</t>
  </si>
  <si>
    <t>C200</t>
  </si>
  <si>
    <t>C201</t>
  </si>
  <si>
    <t>C202</t>
  </si>
  <si>
    <t>C203</t>
  </si>
  <si>
    <t>C205</t>
  </si>
  <si>
    <t>C206</t>
  </si>
  <si>
    <t>C207</t>
  </si>
  <si>
    <t>C208</t>
  </si>
  <si>
    <t>C210</t>
  </si>
  <si>
    <t>C211</t>
  </si>
  <si>
    <t>C212</t>
  </si>
  <si>
    <t>C213</t>
  </si>
  <si>
    <t>C214</t>
  </si>
  <si>
    <t>C215</t>
  </si>
  <si>
    <t>C216</t>
  </si>
  <si>
    <t>C217</t>
  </si>
  <si>
    <t>C218</t>
  </si>
  <si>
    <t>C219</t>
  </si>
  <si>
    <t>C220</t>
  </si>
  <si>
    <t>C221</t>
  </si>
  <si>
    <t>C223</t>
  </si>
  <si>
    <t>C224</t>
  </si>
  <si>
    <t>C225</t>
  </si>
  <si>
    <t>C226</t>
  </si>
  <si>
    <t>C228</t>
  </si>
  <si>
    <t>C233</t>
  </si>
  <si>
    <t>C234</t>
  </si>
  <si>
    <t>C235</t>
  </si>
  <si>
    <t>C236</t>
  </si>
  <si>
    <t>C238</t>
  </si>
  <si>
    <t>C239</t>
  </si>
  <si>
    <t>C243</t>
  </si>
  <si>
    <t>C245</t>
  </si>
  <si>
    <t>C247</t>
  </si>
  <si>
    <t>C250</t>
  </si>
  <si>
    <t>C252</t>
  </si>
  <si>
    <t>C253</t>
  </si>
  <si>
    <t>C257</t>
  </si>
  <si>
    <t>C259</t>
  </si>
  <si>
    <t>C260</t>
  </si>
  <si>
    <t>C262</t>
  </si>
  <si>
    <t>C263</t>
  </si>
  <si>
    <t>C269</t>
  </si>
  <si>
    <t>C270</t>
  </si>
  <si>
    <t>C271</t>
  </si>
  <si>
    <t>C273</t>
  </si>
  <si>
    <t>C274</t>
  </si>
  <si>
    <t>C275</t>
  </si>
  <si>
    <t>C276</t>
  </si>
  <si>
    <t>C277</t>
  </si>
  <si>
    <t>C278</t>
  </si>
  <si>
    <t>C279</t>
  </si>
  <si>
    <t>C280</t>
  </si>
  <si>
    <t>C283</t>
  </si>
  <si>
    <t>C286</t>
  </si>
  <si>
    <t>C287</t>
  </si>
  <si>
    <t>C288</t>
  </si>
  <si>
    <t>C290</t>
  </si>
  <si>
    <t>C291</t>
  </si>
  <si>
    <t>C293</t>
  </si>
  <si>
    <t>C294</t>
  </si>
  <si>
    <t>C299</t>
  </si>
  <si>
    <t>C300</t>
  </si>
  <si>
    <t>C302</t>
  </si>
  <si>
    <t>C303</t>
  </si>
  <si>
    <t>C304</t>
  </si>
  <si>
    <t>C305</t>
  </si>
  <si>
    <t>C306</t>
  </si>
  <si>
    <t>C308</t>
  </si>
  <si>
    <t>C310</t>
  </si>
  <si>
    <t>C311</t>
  </si>
  <si>
    <t>C312</t>
  </si>
  <si>
    <t>C313</t>
  </si>
  <si>
    <t>C314</t>
  </si>
  <si>
    <t>C315</t>
  </si>
  <si>
    <t>C316</t>
  </si>
  <si>
    <t>C318</t>
  </si>
  <si>
    <t>C324</t>
  </si>
  <si>
    <t>C325</t>
  </si>
  <si>
    <t>C327</t>
  </si>
  <si>
    <t>C328</t>
  </si>
  <si>
    <t>C329</t>
  </si>
  <si>
    <t>C330</t>
  </si>
  <si>
    <t>C331</t>
  </si>
  <si>
    <t>C332</t>
  </si>
  <si>
    <t>C334</t>
  </si>
  <si>
    <t>C337</t>
  </si>
  <si>
    <t>C338</t>
  </si>
  <si>
    <t>C339</t>
  </si>
  <si>
    <t>C340</t>
  </si>
  <si>
    <t>C341</t>
  </si>
  <si>
    <t>C342</t>
  </si>
  <si>
    <t>C343</t>
  </si>
  <si>
    <t>C345</t>
  </si>
  <si>
    <t>C346</t>
  </si>
  <si>
    <t>C348</t>
  </si>
  <si>
    <t>C350</t>
  </si>
  <si>
    <t>C351</t>
  </si>
  <si>
    <t>C352</t>
  </si>
  <si>
    <t>C353</t>
  </si>
  <si>
    <t>C354</t>
  </si>
  <si>
    <t>C355</t>
  </si>
  <si>
    <t>C357</t>
  </si>
  <si>
    <t>C359</t>
  </si>
  <si>
    <t>C360</t>
  </si>
  <si>
    <t>C361</t>
  </si>
  <si>
    <t>C362</t>
  </si>
  <si>
    <t>C363</t>
  </si>
  <si>
    <t>C364</t>
  </si>
  <si>
    <t>C365</t>
  </si>
  <si>
    <t>C366</t>
  </si>
  <si>
    <t>C367</t>
  </si>
  <si>
    <t>C368</t>
  </si>
  <si>
    <t>C369</t>
  </si>
  <si>
    <t>C370</t>
  </si>
  <si>
    <t>C371</t>
  </si>
  <si>
    <t>C372</t>
  </si>
  <si>
    <t>C374</t>
  </si>
  <si>
    <t>C375</t>
  </si>
  <si>
    <t>C376</t>
  </si>
  <si>
    <t>C377</t>
  </si>
  <si>
    <t>C379</t>
  </si>
  <si>
    <t>C380</t>
  </si>
  <si>
    <t>C381</t>
  </si>
  <si>
    <t>C382</t>
  </si>
  <si>
    <t>C383</t>
  </si>
  <si>
    <t>C384</t>
  </si>
  <si>
    <t>C385</t>
  </si>
  <si>
    <t>C386</t>
  </si>
  <si>
    <t>C387</t>
  </si>
  <si>
    <t>C388</t>
  </si>
  <si>
    <t>C389</t>
  </si>
  <si>
    <t>C390</t>
  </si>
  <si>
    <t>C391</t>
  </si>
  <si>
    <t>C392</t>
  </si>
  <si>
    <t>C393</t>
  </si>
  <si>
    <t>C394</t>
  </si>
  <si>
    <t>C395</t>
  </si>
  <si>
    <t>C396</t>
  </si>
  <si>
    <t>C397</t>
  </si>
  <si>
    <t>C398</t>
  </si>
  <si>
    <t>C399</t>
  </si>
  <si>
    <t>C400</t>
  </si>
  <si>
    <t>C401</t>
  </si>
  <si>
    <t>C403</t>
  </si>
  <si>
    <t>C405</t>
  </si>
  <si>
    <t>C408</t>
  </si>
  <si>
    <t>C409</t>
  </si>
  <si>
    <t>C410</t>
  </si>
  <si>
    <t>C412</t>
  </si>
  <si>
    <t>C413</t>
  </si>
  <si>
    <t>C414</t>
  </si>
  <si>
    <t>C415</t>
  </si>
  <si>
    <t>C416</t>
  </si>
  <si>
    <t>C423</t>
  </si>
  <si>
    <t>C424</t>
  </si>
  <si>
    <t>C425</t>
  </si>
  <si>
    <t>C426</t>
  </si>
  <si>
    <t>C427</t>
  </si>
  <si>
    <t>C428</t>
  </si>
  <si>
    <t>C429</t>
  </si>
  <si>
    <t>C431</t>
  </si>
  <si>
    <t>C435</t>
  </si>
  <si>
    <t>C438</t>
  </si>
  <si>
    <t>C440</t>
  </si>
  <si>
    <t>C442</t>
  </si>
  <si>
    <t>C443</t>
  </si>
  <si>
    <t>C445</t>
  </si>
  <si>
    <t>C447</t>
  </si>
  <si>
    <t>C448</t>
  </si>
  <si>
    <t>C449</t>
  </si>
  <si>
    <t>C451</t>
  </si>
  <si>
    <t>C452</t>
  </si>
  <si>
    <t>C453</t>
  </si>
  <si>
    <t>C454</t>
  </si>
  <si>
    <t>C457</t>
  </si>
  <si>
    <t>C459</t>
  </si>
  <si>
    <t>C462</t>
  </si>
  <si>
    <t>C463</t>
  </si>
  <si>
    <t>C464</t>
  </si>
  <si>
    <t>C465</t>
  </si>
  <si>
    <t>C466</t>
  </si>
  <si>
    <t>C467</t>
  </si>
  <si>
    <t>C468</t>
  </si>
  <si>
    <t>C469</t>
  </si>
  <si>
    <t>C470</t>
  </si>
  <si>
    <t>C471</t>
  </si>
  <si>
    <t>C472</t>
  </si>
  <si>
    <t>C473</t>
  </si>
  <si>
    <t>C474</t>
  </si>
  <si>
    <t>C475</t>
  </si>
  <si>
    <t>C476</t>
  </si>
  <si>
    <t>C478</t>
  </si>
  <si>
    <t>C479</t>
  </si>
  <si>
    <t>C480</t>
  </si>
  <si>
    <t>C482</t>
  </si>
  <si>
    <t>C483</t>
  </si>
  <si>
    <t>C484</t>
  </si>
  <si>
    <t>C485</t>
  </si>
  <si>
    <t>C486</t>
  </si>
  <si>
    <t>C488</t>
  </si>
  <si>
    <t>C489</t>
  </si>
  <si>
    <t>C490</t>
  </si>
  <si>
    <t>C491</t>
  </si>
  <si>
    <t>C492</t>
  </si>
  <si>
    <t>C493</t>
  </si>
  <si>
    <t>C494</t>
  </si>
  <si>
    <t>C495</t>
  </si>
  <si>
    <t>C496</t>
  </si>
  <si>
    <t>C497</t>
  </si>
  <si>
    <t>C498</t>
  </si>
  <si>
    <t>C499</t>
  </si>
  <si>
    <t>C500</t>
  </si>
  <si>
    <t>C501</t>
  </si>
  <si>
    <t>C502</t>
  </si>
  <si>
    <t>C503</t>
  </si>
  <si>
    <t>C504</t>
  </si>
  <si>
    <t>C506</t>
  </si>
  <si>
    <t>C507</t>
  </si>
  <si>
    <t>C508</t>
  </si>
  <si>
    <t>C510</t>
  </si>
  <si>
    <t>C511</t>
  </si>
  <si>
    <t>C515</t>
  </si>
  <si>
    <t>C516</t>
  </si>
  <si>
    <t>C517</t>
  </si>
  <si>
    <t>C519</t>
  </si>
  <si>
    <t>C520</t>
  </si>
  <si>
    <t>C521</t>
  </si>
  <si>
    <t>C522</t>
  </si>
  <si>
    <t>C524</t>
  </si>
  <si>
    <t>C525</t>
  </si>
  <si>
    <t>C526</t>
  </si>
  <si>
    <t>C528</t>
  </si>
  <si>
    <t>C530</t>
  </si>
  <si>
    <t>C531</t>
  </si>
  <si>
    <t>C533</t>
  </si>
  <si>
    <t>C534</t>
  </si>
  <si>
    <t>C535</t>
  </si>
  <si>
    <t>C536</t>
  </si>
  <si>
    <t>C537</t>
  </si>
  <si>
    <t>C539</t>
  </si>
  <si>
    <t>C540</t>
  </si>
  <si>
    <t>C542</t>
  </si>
  <si>
    <t>C543</t>
  </si>
  <si>
    <t>C544</t>
  </si>
  <si>
    <t>C545</t>
  </si>
  <si>
    <t>C548</t>
  </si>
  <si>
    <t>C550</t>
  </si>
  <si>
    <t>C555</t>
  </si>
  <si>
    <t>C556</t>
  </si>
  <si>
    <t>C558</t>
  </si>
  <si>
    <t>C559</t>
  </si>
  <si>
    <t>C560</t>
  </si>
  <si>
    <t>C561</t>
  </si>
  <si>
    <t>C562</t>
  </si>
  <si>
    <t>C563</t>
  </si>
  <si>
    <t>C564</t>
  </si>
  <si>
    <t>C565</t>
  </si>
  <si>
    <t>C566</t>
  </si>
  <si>
    <t>C567</t>
  </si>
  <si>
    <t>C568</t>
  </si>
  <si>
    <t>C569</t>
  </si>
  <si>
    <t>C570</t>
  </si>
  <si>
    <t>C574</t>
  </si>
  <si>
    <t>C575</t>
  </si>
  <si>
    <t>C576</t>
  </si>
  <si>
    <t>C577</t>
  </si>
  <si>
    <t>C578</t>
  </si>
  <si>
    <t>C579</t>
  </si>
  <si>
    <t>C580</t>
  </si>
  <si>
    <t>C581</t>
  </si>
  <si>
    <t>C582</t>
  </si>
  <si>
    <t>C584</t>
  </si>
  <si>
    <t>C586</t>
  </si>
  <si>
    <t>C587</t>
  </si>
  <si>
    <t>C588</t>
  </si>
  <si>
    <t>C589</t>
  </si>
  <si>
    <t>C590</t>
  </si>
  <si>
    <t>C591</t>
  </si>
  <si>
    <t>C592</t>
  </si>
  <si>
    <t>C593</t>
  </si>
  <si>
    <t>C594</t>
  </si>
  <si>
    <t>C595</t>
  </si>
  <si>
    <t>C596</t>
  </si>
  <si>
    <t>C597</t>
  </si>
  <si>
    <t>C598</t>
  </si>
  <si>
    <t>C599</t>
  </si>
  <si>
    <t>C600</t>
  </si>
  <si>
    <t>C601</t>
  </si>
  <si>
    <t>C602</t>
  </si>
  <si>
    <t>C603</t>
  </si>
  <si>
    <t>C604</t>
  </si>
  <si>
    <t>C605</t>
  </si>
  <si>
    <t>C606</t>
  </si>
  <si>
    <t>C607</t>
  </si>
  <si>
    <t>C608</t>
  </si>
  <si>
    <t>C609</t>
  </si>
  <si>
    <t>C610</t>
  </si>
  <si>
    <t>C611</t>
  </si>
  <si>
    <t>C613</t>
  </si>
  <si>
    <t>C614</t>
  </si>
  <si>
    <t>C615</t>
  </si>
  <si>
    <t>C616</t>
  </si>
  <si>
    <t>C617</t>
  </si>
  <si>
    <t>C619</t>
  </si>
  <si>
    <t>C620</t>
  </si>
  <si>
    <t>C635</t>
  </si>
  <si>
    <t>C636</t>
  </si>
  <si>
    <t>C637</t>
  </si>
  <si>
    <t>C638</t>
  </si>
  <si>
    <t>C639</t>
  </si>
  <si>
    <t>C640</t>
  </si>
  <si>
    <t>C641</t>
  </si>
  <si>
    <t>C642</t>
  </si>
  <si>
    <t>C643</t>
  </si>
  <si>
    <t>C648</t>
  </si>
  <si>
    <t>C653</t>
  </si>
  <si>
    <t>C656</t>
  </si>
  <si>
    <t>C658</t>
  </si>
  <si>
    <t>C999</t>
  </si>
  <si>
    <t>CAFS</t>
  </si>
  <si>
    <t>D001</t>
  </si>
  <si>
    <t>F001</t>
  </si>
  <si>
    <t>F002</t>
  </si>
  <si>
    <t>F003</t>
  </si>
  <si>
    <t>F004</t>
  </si>
  <si>
    <t>F005</t>
  </si>
  <si>
    <t>F006</t>
  </si>
  <si>
    <t>F007</t>
  </si>
  <si>
    <t>F008</t>
  </si>
  <si>
    <t>F010</t>
  </si>
  <si>
    <t>F011</t>
  </si>
  <si>
    <t>F012</t>
  </si>
  <si>
    <t>F013</t>
  </si>
  <si>
    <t>F014</t>
  </si>
  <si>
    <t>F015</t>
  </si>
  <si>
    <t>F016</t>
  </si>
  <si>
    <t>F017</t>
  </si>
  <si>
    <t>F018</t>
  </si>
  <si>
    <t>F019</t>
  </si>
  <si>
    <t>F020</t>
  </si>
  <si>
    <t>F021</t>
  </si>
  <si>
    <t>F022</t>
  </si>
  <si>
    <t>F023</t>
  </si>
  <si>
    <t>F024</t>
  </si>
  <si>
    <t>F025</t>
  </si>
  <si>
    <t>F025C1</t>
  </si>
  <si>
    <t>F026</t>
  </si>
  <si>
    <t>F027</t>
  </si>
  <si>
    <t>F028</t>
  </si>
  <si>
    <t>F029</t>
  </si>
  <si>
    <t>F030</t>
  </si>
  <si>
    <t>F031</t>
  </si>
  <si>
    <t>F032</t>
  </si>
  <si>
    <t>F033</t>
  </si>
  <si>
    <t>F034</t>
  </si>
  <si>
    <t>F036</t>
  </si>
  <si>
    <t>F037</t>
  </si>
  <si>
    <t>F038</t>
  </si>
  <si>
    <t>F039</t>
  </si>
  <si>
    <t>F040</t>
  </si>
  <si>
    <t>F041</t>
  </si>
  <si>
    <t>F042</t>
  </si>
  <si>
    <t>F043</t>
  </si>
  <si>
    <t>F044</t>
  </si>
  <si>
    <t>F045</t>
  </si>
  <si>
    <t>F046</t>
  </si>
  <si>
    <t>F047</t>
  </si>
  <si>
    <t>F048</t>
  </si>
  <si>
    <t>F049</t>
  </si>
  <si>
    <t>F050</t>
  </si>
  <si>
    <t>F051</t>
  </si>
  <si>
    <t>F052</t>
  </si>
  <si>
    <t>F053</t>
  </si>
  <si>
    <t>F054</t>
  </si>
  <si>
    <t>F056</t>
  </si>
  <si>
    <t>F058</t>
  </si>
  <si>
    <t>F059</t>
  </si>
  <si>
    <t>F062</t>
  </si>
  <si>
    <t>F063</t>
  </si>
  <si>
    <t>F064</t>
  </si>
  <si>
    <t>F065</t>
  </si>
  <si>
    <t>F066</t>
  </si>
  <si>
    <t>F067</t>
  </si>
  <si>
    <t>F068</t>
  </si>
  <si>
    <t>F069</t>
  </si>
  <si>
    <t>F070</t>
  </si>
  <si>
    <t>F071</t>
  </si>
  <si>
    <t>F072</t>
  </si>
  <si>
    <t>F073</t>
  </si>
  <si>
    <t>F074</t>
  </si>
  <si>
    <t>F075</t>
  </si>
  <si>
    <t>F076</t>
  </si>
  <si>
    <t>F077</t>
  </si>
  <si>
    <t>F078</t>
  </si>
  <si>
    <t>F079</t>
  </si>
  <si>
    <t>F080</t>
  </si>
  <si>
    <t>F082</t>
  </si>
  <si>
    <t>F083</t>
  </si>
  <si>
    <t>F085</t>
  </si>
  <si>
    <t>F087</t>
  </si>
  <si>
    <t>F090</t>
  </si>
  <si>
    <t>F092</t>
  </si>
  <si>
    <t>F093</t>
  </si>
  <si>
    <t>F094</t>
  </si>
  <si>
    <t>F096</t>
  </si>
  <si>
    <t>F097</t>
  </si>
  <si>
    <t>F098</t>
  </si>
  <si>
    <t>F099</t>
  </si>
  <si>
    <t>F100</t>
  </si>
  <si>
    <t>F101</t>
  </si>
  <si>
    <t>F103</t>
  </si>
  <si>
    <t>F104</t>
  </si>
  <si>
    <t>F105</t>
  </si>
  <si>
    <t>F106</t>
  </si>
  <si>
    <t>F107</t>
  </si>
  <si>
    <t>F108</t>
  </si>
  <si>
    <t>F109</t>
  </si>
  <si>
    <t>F110</t>
  </si>
  <si>
    <t>F110C1</t>
  </si>
  <si>
    <t>F111</t>
  </si>
  <si>
    <t>F112</t>
  </si>
  <si>
    <t>F113</t>
  </si>
  <si>
    <t>F114</t>
  </si>
  <si>
    <t>F115</t>
  </si>
  <si>
    <t>F116</t>
  </si>
  <si>
    <t>F117</t>
  </si>
  <si>
    <t>F118</t>
  </si>
  <si>
    <t>F119</t>
  </si>
  <si>
    <t>F120</t>
  </si>
  <si>
    <t>F121</t>
  </si>
  <si>
    <t>F122</t>
  </si>
  <si>
    <t>F123</t>
  </si>
  <si>
    <t>F124</t>
  </si>
  <si>
    <t>F125</t>
  </si>
  <si>
    <t>F126</t>
  </si>
  <si>
    <t>F127</t>
  </si>
  <si>
    <t>F128</t>
  </si>
  <si>
    <t>F130</t>
  </si>
  <si>
    <t>F132</t>
  </si>
  <si>
    <t>F133</t>
  </si>
  <si>
    <t>F134</t>
  </si>
  <si>
    <t>F135</t>
  </si>
  <si>
    <t>F137</t>
  </si>
  <si>
    <t>F138</t>
  </si>
  <si>
    <t>F140</t>
  </si>
  <si>
    <t>F141</t>
  </si>
  <si>
    <t>F143</t>
  </si>
  <si>
    <t>F144</t>
  </si>
  <si>
    <t>F145</t>
  </si>
  <si>
    <t>F146</t>
  </si>
  <si>
    <t>F148</t>
  </si>
  <si>
    <t>F150</t>
  </si>
  <si>
    <t>F151</t>
  </si>
  <si>
    <t>F152</t>
  </si>
  <si>
    <t>F153</t>
  </si>
  <si>
    <t>F154</t>
  </si>
  <si>
    <t>F155</t>
  </si>
  <si>
    <t>F156</t>
  </si>
  <si>
    <t>F158</t>
  </si>
  <si>
    <t>F159</t>
  </si>
  <si>
    <t>F160</t>
  </si>
  <si>
    <t>F161</t>
  </si>
  <si>
    <t>F162</t>
  </si>
  <si>
    <t>F163</t>
  </si>
  <si>
    <t>F164</t>
  </si>
  <si>
    <t>F165</t>
  </si>
  <si>
    <t>F166</t>
  </si>
  <si>
    <t>F167</t>
  </si>
  <si>
    <t>F168</t>
  </si>
  <si>
    <t>F169</t>
  </si>
  <si>
    <t>F170</t>
  </si>
  <si>
    <t>F172</t>
  </si>
  <si>
    <t>F173</t>
  </si>
  <si>
    <t>F174</t>
  </si>
  <si>
    <t>F175</t>
  </si>
  <si>
    <t>F176</t>
  </si>
  <si>
    <t>F177</t>
  </si>
  <si>
    <t>F178</t>
  </si>
  <si>
    <t>F180</t>
  </si>
  <si>
    <t>F181</t>
  </si>
  <si>
    <t>F182</t>
  </si>
  <si>
    <t>F183</t>
  </si>
  <si>
    <t>F185</t>
  </si>
  <si>
    <t>F188</t>
  </si>
  <si>
    <t>F189</t>
  </si>
  <si>
    <t>F190</t>
  </si>
  <si>
    <t>F191</t>
  </si>
  <si>
    <t>F193</t>
  </si>
  <si>
    <t>F200</t>
  </si>
  <si>
    <t>F201</t>
  </si>
  <si>
    <t>F202</t>
  </si>
  <si>
    <t>F203</t>
  </si>
  <si>
    <t>F204</t>
  </si>
  <si>
    <t>F205</t>
  </si>
  <si>
    <t>F206</t>
  </si>
  <si>
    <t>F207</t>
  </si>
  <si>
    <t>F208</t>
  </si>
  <si>
    <t>F209</t>
  </si>
  <si>
    <t>F210</t>
  </si>
  <si>
    <t>F211</t>
  </si>
  <si>
    <t>F212</t>
  </si>
  <si>
    <t>F213</t>
  </si>
  <si>
    <t>F214</t>
  </si>
  <si>
    <t>F215</t>
  </si>
  <si>
    <t>F216</t>
  </si>
  <si>
    <t>F218</t>
  </si>
  <si>
    <t>F220</t>
  </si>
  <si>
    <t>F221</t>
  </si>
  <si>
    <t>F222</t>
  </si>
  <si>
    <t>F223</t>
  </si>
  <si>
    <t>F224</t>
  </si>
  <si>
    <t>F225</t>
  </si>
  <si>
    <t>F226</t>
  </si>
  <si>
    <t>F227</t>
  </si>
  <si>
    <t>F228</t>
  </si>
  <si>
    <t>F9999</t>
  </si>
  <si>
    <t>G999</t>
  </si>
  <si>
    <t>H001</t>
  </si>
  <si>
    <t>H003</t>
  </si>
  <si>
    <t>H004</t>
  </si>
  <si>
    <t>H005</t>
  </si>
  <si>
    <t>H006</t>
  </si>
  <si>
    <t>H007</t>
  </si>
  <si>
    <t>H008</t>
  </si>
  <si>
    <t>H009</t>
  </si>
  <si>
    <t>H010</t>
  </si>
  <si>
    <t>H011</t>
  </si>
  <si>
    <t>H012</t>
  </si>
  <si>
    <t>H013</t>
  </si>
  <si>
    <t>H015</t>
  </si>
  <si>
    <t>H016</t>
  </si>
  <si>
    <t>H019</t>
  </si>
  <si>
    <t>H020</t>
  </si>
  <si>
    <t>H027</t>
  </si>
  <si>
    <t>H028</t>
  </si>
  <si>
    <t>H029</t>
  </si>
  <si>
    <t>H030</t>
  </si>
  <si>
    <t>H031</t>
  </si>
  <si>
    <t>H040</t>
  </si>
  <si>
    <t>H041</t>
  </si>
  <si>
    <t>H042</t>
  </si>
  <si>
    <t>H043</t>
  </si>
  <si>
    <t>H044</t>
  </si>
  <si>
    <t>H045</t>
  </si>
  <si>
    <t>H046</t>
  </si>
  <si>
    <t>H047</t>
  </si>
  <si>
    <t>H050</t>
  </si>
  <si>
    <t>H060</t>
  </si>
  <si>
    <t>H060R</t>
  </si>
  <si>
    <t>H061</t>
  </si>
  <si>
    <t>H062</t>
  </si>
  <si>
    <t>H063</t>
  </si>
  <si>
    <t>H064</t>
  </si>
  <si>
    <t>H065</t>
  </si>
  <si>
    <t>H066</t>
  </si>
  <si>
    <t>H067</t>
  </si>
  <si>
    <t>H074</t>
  </si>
  <si>
    <t>H076</t>
  </si>
  <si>
    <t>H077</t>
  </si>
  <si>
    <t>H078</t>
  </si>
  <si>
    <t>H089</t>
  </si>
  <si>
    <t>H090</t>
  </si>
  <si>
    <t>I001</t>
  </si>
  <si>
    <t>K054</t>
  </si>
  <si>
    <t>K093</t>
  </si>
  <si>
    <t>K104</t>
  </si>
  <si>
    <t>K105</t>
  </si>
  <si>
    <t>K106</t>
  </si>
  <si>
    <t>K132</t>
  </si>
  <si>
    <t>K135</t>
  </si>
  <si>
    <t>K140</t>
  </si>
  <si>
    <t>K141</t>
  </si>
  <si>
    <t>K143</t>
  </si>
  <si>
    <t>K154</t>
  </si>
  <si>
    <t>K156</t>
  </si>
  <si>
    <t>K167</t>
  </si>
  <si>
    <t>K177</t>
  </si>
  <si>
    <t>K182</t>
  </si>
  <si>
    <t>K190</t>
  </si>
  <si>
    <t>K200</t>
  </si>
  <si>
    <t>K206</t>
  </si>
  <si>
    <t>K212</t>
  </si>
  <si>
    <t>K213</t>
  </si>
  <si>
    <t>K217</t>
  </si>
  <si>
    <t>K221</t>
  </si>
  <si>
    <t>K222</t>
  </si>
  <si>
    <t>K223</t>
  </si>
  <si>
    <t>K226</t>
  </si>
  <si>
    <t>L001</t>
  </si>
  <si>
    <t>L002</t>
  </si>
  <si>
    <t>L003</t>
  </si>
  <si>
    <t>L004</t>
  </si>
  <si>
    <t>L005</t>
  </si>
  <si>
    <t>L006</t>
  </si>
  <si>
    <t>M010</t>
  </si>
  <si>
    <t>M011</t>
  </si>
  <si>
    <t>M012</t>
  </si>
  <si>
    <t>M020</t>
  </si>
  <si>
    <t>M021</t>
  </si>
  <si>
    <t>M022</t>
  </si>
  <si>
    <t>M030</t>
  </si>
  <si>
    <t>M031</t>
  </si>
  <si>
    <t>M032</t>
  </si>
  <si>
    <t>M040</t>
  </si>
  <si>
    <t>M041</t>
  </si>
  <si>
    <t>M042</t>
  </si>
  <si>
    <t>M050</t>
  </si>
  <si>
    <t>M051</t>
  </si>
  <si>
    <t>M052</t>
  </si>
  <si>
    <t>M060</t>
  </si>
  <si>
    <t>M061</t>
  </si>
  <si>
    <t>M062</t>
  </si>
  <si>
    <t>M063</t>
  </si>
  <si>
    <t>M080</t>
  </si>
  <si>
    <t>M081</t>
  </si>
  <si>
    <t>M082</t>
  </si>
  <si>
    <t>M090</t>
  </si>
  <si>
    <t>M091</t>
  </si>
  <si>
    <t>M092</t>
  </si>
  <si>
    <t>M100</t>
  </si>
  <si>
    <t>M101</t>
  </si>
  <si>
    <t>M102</t>
  </si>
  <si>
    <t>M103</t>
  </si>
  <si>
    <t>M110</t>
  </si>
  <si>
    <t>M120</t>
  </si>
  <si>
    <t>M121</t>
  </si>
  <si>
    <t>M122</t>
  </si>
  <si>
    <t>M128</t>
  </si>
  <si>
    <t>M140</t>
  </si>
  <si>
    <t>M141</t>
  </si>
  <si>
    <t>M142</t>
  </si>
  <si>
    <t>M143</t>
  </si>
  <si>
    <t>M144</t>
  </si>
  <si>
    <t>M145</t>
  </si>
  <si>
    <t>M150</t>
  </si>
  <si>
    <t>M151</t>
  </si>
  <si>
    <t>M152</t>
  </si>
  <si>
    <t>M160</t>
  </si>
  <si>
    <t>M161</t>
  </si>
  <si>
    <t>M162</t>
  </si>
  <si>
    <t>M180</t>
  </si>
  <si>
    <t>M181</t>
  </si>
  <si>
    <t>M182</t>
  </si>
  <si>
    <t>M190</t>
  </si>
  <si>
    <t>M191</t>
  </si>
  <si>
    <t>M192</t>
  </si>
  <si>
    <t>M193</t>
  </si>
  <si>
    <t>M194</t>
  </si>
  <si>
    <t>M195</t>
  </si>
  <si>
    <t>M200</t>
  </si>
  <si>
    <t>M200_R</t>
  </si>
  <si>
    <t>M201</t>
  </si>
  <si>
    <t>M202</t>
  </si>
  <si>
    <t>M203</t>
  </si>
  <si>
    <t>M204</t>
  </si>
  <si>
    <t>M230</t>
  </si>
  <si>
    <t>R001</t>
  </si>
  <si>
    <t>R001A</t>
  </si>
  <si>
    <t>R003</t>
  </si>
  <si>
    <t>R003A</t>
  </si>
  <si>
    <t>R005</t>
  </si>
  <si>
    <t>S100</t>
  </si>
  <si>
    <t>S101</t>
  </si>
  <si>
    <t>S102</t>
  </si>
  <si>
    <t>S103</t>
  </si>
  <si>
    <t>S109</t>
  </si>
  <si>
    <t>S110</t>
  </si>
  <si>
    <t>S200</t>
  </si>
  <si>
    <t>S201</t>
  </si>
  <si>
    <t>S202</t>
  </si>
  <si>
    <t>S203</t>
  </si>
  <si>
    <t>S204</t>
  </si>
  <si>
    <t>S205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</si>
  <si>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</si>
  <si>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</si>
  <si>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</si>
  <si>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</si>
  <si>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</si>
  <si>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</si>
  <si>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</si>
  <si>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</si>
  <si>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</si>
  <si>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</si>
  <si>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</si>
  <si>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</si>
  <si>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</si>
  <si>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</si>
  <si>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</si>
  <si>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S225</t>
  </si>
  <si>
    <t>S227</t>
  </si>
  <si>
    <t>S228</t>
  </si>
  <si>
    <t>S229</t>
  </si>
  <si>
    <t>S231</t>
  </si>
  <si>
    <t>S300</t>
  </si>
  <si>
    <t>S306</t>
  </si>
  <si>
    <t>S308</t>
  </si>
  <si>
    <t>S320</t>
  </si>
  <si>
    <t>S329</t>
  </si>
  <si>
    <t>S330</t>
  </si>
  <si>
    <t>S401</t>
  </si>
  <si>
    <t>S500</t>
  </si>
  <si>
    <t>S600</t>
  </si>
  <si>
    <t>S601</t>
  </si>
  <si>
    <t>S602</t>
  </si>
  <si>
    <t>S603</t>
  </si>
  <si>
    <t>S605</t>
  </si>
  <si>
    <t>S608</t>
  </si>
  <si>
    <t>S609</t>
  </si>
  <si>
    <t>S611</t>
  </si>
  <si>
    <t>S612</t>
  </si>
  <si>
    <t>S613</t>
  </si>
  <si>
    <t>S614</t>
  </si>
  <si>
    <t>S700</t>
  </si>
  <si>
    <t>S812</t>
  </si>
  <si>
    <t>S813</t>
  </si>
  <si>
    <t>S830</t>
  </si>
  <si>
    <t>S831</t>
  </si>
  <si>
    <t>S832</t>
  </si>
  <si>
    <t>S833</t>
  </si>
  <si>
    <t>S840</t>
  </si>
  <si>
    <t>S842</t>
  </si>
  <si>
    <t>S843</t>
  </si>
  <si>
    <t>S844</t>
  </si>
  <si>
    <t>S850</t>
  </si>
  <si>
    <t>S851</t>
  </si>
  <si>
    <t>S999</t>
  </si>
  <si>
    <t>SXXX</t>
  </si>
  <si>
    <t>T003</t>
  </si>
  <si>
    <t>T005</t>
  </si>
  <si>
    <t>T020</t>
  </si>
  <si>
    <t>U001</t>
  </si>
  <si>
    <t>U002</t>
  </si>
  <si>
    <t>U00229</t>
  </si>
  <si>
    <t>U00230</t>
  </si>
  <si>
    <t>U003</t>
  </si>
  <si>
    <t>U004</t>
  </si>
  <si>
    <t>U005</t>
  </si>
  <si>
    <t>U006</t>
  </si>
  <si>
    <t>U008</t>
  </si>
  <si>
    <t>U009</t>
  </si>
  <si>
    <t>U010</t>
  </si>
  <si>
    <t>U011</t>
  </si>
  <si>
    <t>U012</t>
  </si>
  <si>
    <t>U013</t>
  </si>
  <si>
    <t>U01389</t>
  </si>
  <si>
    <t>U014</t>
  </si>
  <si>
    <t>U015</t>
  </si>
  <si>
    <t>U016</t>
  </si>
  <si>
    <t>U017</t>
  </si>
  <si>
    <t>U018</t>
  </si>
  <si>
    <t>U01891</t>
  </si>
  <si>
    <t>U019</t>
  </si>
  <si>
    <t>U022</t>
  </si>
  <si>
    <t>U025</t>
  </si>
  <si>
    <t>U025611</t>
  </si>
  <si>
    <t>V001001501</t>
  </si>
  <si>
    <t>V001001502</t>
  </si>
  <si>
    <t>V001001504</t>
  </si>
  <si>
    <t>V009</t>
  </si>
  <si>
    <t>V009001101</t>
  </si>
  <si>
    <t>V009001501</t>
  </si>
  <si>
    <t>V010</t>
  </si>
  <si>
    <t>V012001801</t>
  </si>
  <si>
    <t>V012001802</t>
  </si>
  <si>
    <t>V016000901</t>
  </si>
  <si>
    <t>V016001102</t>
  </si>
  <si>
    <t>V016001201</t>
  </si>
  <si>
    <t>V017001301</t>
  </si>
  <si>
    <t>V018001501</t>
  </si>
  <si>
    <t>V018020703</t>
  </si>
  <si>
    <t>V020000901</t>
  </si>
  <si>
    <t>V020000902</t>
  </si>
  <si>
    <t>V020001001</t>
  </si>
  <si>
    <t>V020001201</t>
  </si>
  <si>
    <t>V020020703</t>
  </si>
  <si>
    <t>V021001401</t>
  </si>
  <si>
    <t>V023060701</t>
  </si>
  <si>
    <t>V023060801</t>
  </si>
  <si>
    <t>V026001501</t>
  </si>
  <si>
    <t>V029000801</t>
  </si>
  <si>
    <t>V031</t>
  </si>
  <si>
    <t>V031001203</t>
  </si>
  <si>
    <t>V031001302</t>
  </si>
  <si>
    <t>V031001304</t>
  </si>
  <si>
    <t>V031001306</t>
  </si>
  <si>
    <t>V031001307</t>
  </si>
  <si>
    <t>V031001401</t>
  </si>
  <si>
    <t>V032001501</t>
  </si>
  <si>
    <t>V032001503</t>
  </si>
  <si>
    <t>V032001505</t>
  </si>
  <si>
    <t>V032001506</t>
  </si>
  <si>
    <t>V032001508</t>
  </si>
  <si>
    <t>V032001901</t>
  </si>
  <si>
    <t>V033</t>
  </si>
  <si>
    <t>V033000003</t>
  </si>
  <si>
    <t>V118</t>
  </si>
  <si>
    <t>A402</t>
  </si>
  <si>
    <t>A163</t>
  </si>
  <si>
    <t>C664</t>
  </si>
  <si>
    <t>C514</t>
  </si>
  <si>
    <t>A403</t>
  </si>
  <si>
    <t>A395</t>
  </si>
  <si>
    <t>C335</t>
  </si>
  <si>
    <t>C553</t>
  </si>
  <si>
    <t>F232</t>
  </si>
  <si>
    <t>A404</t>
  </si>
  <si>
    <t>C266</t>
  </si>
  <si>
    <t>F057</t>
  </si>
  <si>
    <t>V009001502</t>
  </si>
  <si>
    <t>A373</t>
  </si>
  <si>
    <t>A416</t>
  </si>
  <si>
    <t>A417</t>
  </si>
  <si>
    <t>[PROTO_CRF.xlsx]Accueil!C6</t>
  </si>
  <si>
    <t xml:space="preserve">Période : </t>
  </si>
  <si>
    <t xml:space="preserve">Centre_Profit : </t>
  </si>
  <si>
    <t xml:space="preserve">Indicateur : </t>
  </si>
  <si>
    <t>01 - CRF</t>
  </si>
  <si>
    <t>Home</t>
  </si>
  <si>
    <t>Sommaire 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</si>
</sst>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_€_-;\-* #,##0.00\ _€_-;_-* &quot;-&quot;??\ _€_-;_-@_-"/>
  </numFmts>
  <fonts count="27" x14ac:knownFonts="1">
    <font>
      <sz val="11"/>
      <color theme="1"/>
      <name val="Aptos Narrow"/>
      <family val="2"/>
      <scheme val="minor"/>
    </font>
    <font>
      <sz val="10"/>
      <name val="Arial"/>
      <family val="2"/>
    </font>
    <font>
      <sz val="10"/>
      <color theme="0"/>
      <name val="Arial"/>
      <family val="2"/>
    </font>
    <font>
      <b/>
      <sz val="10"/>
      <name val="Arial"/>
      <family val="2"/>
    </font>
    <font>
      <b/>
      <sz val="48"/>
      <color indexed="43"/>
      <name val="Arial"/>
      <family val="2"/>
    </font>
    <font>
      <b/>
      <sz val="28"/>
      <color indexed="43"/>
      <name val="Arial"/>
      <family val="2"/>
    </font>
    <font>
      <sz val="28"/>
      <color indexed="18"/>
      <name val="Franklin Gothic Medium Cond"/>
      <family val="2"/>
    </font>
    <font>
      <b/>
      <i/>
      <sz val="10"/>
      <color indexed="18"/>
      <name val="Franklin Gothic Demi"/>
      <family val="2"/>
    </font>
    <font>
      <b/>
      <sz val="8"/>
      <name val="Times New Roman"/>
      <family val="1"/>
    </font>
    <font>
      <sz val="8"/>
      <name val="Times New Roman"/>
      <family val="1"/>
    </font>
    <font>
      <b/>
      <sz val="8"/>
      <color indexed="12"/>
      <name val="Times New Roman"/>
      <family val="1"/>
    </font>
    <font>
      <i/>
      <sz val="8"/>
      <name val="Times New Roman"/>
      <family val="1"/>
    </font>
    <font>
      <sz val="8"/>
      <name val="Arial"/>
      <family val="2"/>
    </font>
    <font>
      <b/>
      <sz val="8"/>
      <color indexed="12"/>
      <name val="Arial"/>
      <family val="2"/>
    </font>
    <font>
      <i/>
      <sz val="10"/>
      <color theme="0" tint="-0.249977111117893"/>
      <name val="Arial"/>
      <family val="2"/>
    </font>
    <font>
      <b/>
      <sz val="10.5"/>
      <color rgb="FF165D81"/>
      <name val="Calibri"/>
      <family val="2"/>
    </font>
    <font>
      <b/>
      <sz val="10.5"/>
      <color theme="1" tint="0.24994659260841701"/>
      <name val="Calibri"/>
      <family val="2"/>
    </font>
    <font>
      <b/>
      <sz val="10.5"/>
      <color theme="1" tint="0.34998626667073579"/>
      <name val="Calibri"/>
      <family val="2"/>
    </font>
    <font>
      <b/>
      <sz val="10.5"/>
      <color theme="4"/>
      <name val="Calibri"/>
      <family val="2"/>
    </font>
    <font>
      <b/>
      <sz val="10.5"/>
      <color theme="7"/>
      <name val="Calibri"/>
      <family val="2"/>
    </font>
    <font>
      <b/>
      <sz val="10.5"/>
      <color theme="5" tint="0.39994506668294322"/>
      <name val="Calibri"/>
      <family val="2"/>
    </font>
    <font>
      <b/>
      <sz val="10.5"/>
      <color rgb="FF336577"/>
      <name val="Calibri"/>
      <family val="2"/>
    </font>
    <font>
      <b/>
      <sz val="10.5"/>
      <color theme="6" tint="-0.24994659260841701"/>
      <name val="Calibri"/>
      <family val="2"/>
    </font>
    <font>
      <b/>
      <sz val="10.5"/>
      <color theme="3" tint="0.39994506668294322"/>
      <name val="Calibri"/>
      <family val="2"/>
    </font>
    <font>
      <u/>
      <sz val="11"/>
      <color theme="10"/>
      <name val="Aptos Narrow"/>
      <family val="2"/>
      <scheme val="minor"/>
    </font>
    <font>
      <sz val="11"/>
      <color theme="8" tint="-0.249977111117893"/>
      <name val="Aptos Narrow"/>
      <family val="2"/>
      <scheme val="minor"/>
    </font>
    <font>
      <b/>
      <u/>
      <sz val="11"/>
      <color theme="8" tint="-0.249977111117893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ED7A5"/>
        <bgColor indexed="64"/>
      </patternFill>
    </fill>
    <fill>
      <patternFill patternType="solid">
        <fgColor theme="3" tint="0.89999084444715716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medium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77">
    <xf numFmtId="0" fontId="0" fillId="0" borderId="0"/>
    <xf numFmtId="0" fontId="1" fillId="0" borderId="0"/>
    <xf numFmtId="0" fontId="15" fillId="0" borderId="14" applyNumberFormat="0" applyFill="0" applyProtection="0">
      <alignment horizontal="center" vertical="center"/>
    </xf>
    <xf numFmtId="3" fontId="16" fillId="0" borderId="15" applyFont="0" applyFill="0" applyAlignment="0" applyProtection="0"/>
    <xf numFmtId="3" fontId="16" fillId="0" borderId="15" applyFont="0" applyFill="0" applyAlignment="0" applyProtection="0"/>
    <xf numFmtId="3" fontId="16" fillId="0" borderId="15" applyFont="0" applyFill="0" applyAlignment="0" applyProtection="0"/>
    <xf numFmtId="3" fontId="16" fillId="0" borderId="15" applyFont="0" applyFill="0" applyAlignment="0" applyProtection="0"/>
    <xf numFmtId="3" fontId="16" fillId="0" borderId="15" applyFont="0" applyFill="0" applyAlignment="0" applyProtection="0"/>
    <xf numFmtId="3" fontId="16" fillId="0" borderId="15" applyFont="0" applyFill="0" applyAlignment="0" applyProtection="0"/>
    <xf numFmtId="3" fontId="16" fillId="0" borderId="15" applyFont="0" applyFill="0" applyAlignment="0" applyProtection="0"/>
    <xf numFmtId="3" fontId="16" fillId="0" borderId="15" applyFont="0" applyFill="0" applyAlignment="0" applyProtection="0"/>
    <xf numFmtId="3" fontId="15" fillId="0" borderId="14" applyNumberFormat="0" applyFill="0" applyAlignment="0" applyProtection="0"/>
    <xf numFmtId="0" fontId="15" fillId="0" borderId="14" applyNumberFormat="0" applyFill="0" applyAlignment="0" applyProtection="0"/>
    <xf numFmtId="3" fontId="15" fillId="0" borderId="14" applyNumberFormat="0" applyFill="0" applyAlignment="0" applyProtection="0"/>
    <xf numFmtId="0" fontId="15" fillId="0" borderId="14" applyNumberFormat="0" applyFill="0" applyAlignment="0" applyProtection="0"/>
    <xf numFmtId="0" fontId="15" fillId="0" borderId="14" applyNumberFormat="0" applyFill="0" applyAlignment="0" applyProtection="0"/>
    <xf numFmtId="0" fontId="15" fillId="0" borderId="14" applyNumberFormat="0" applyFill="0" applyAlignment="0" applyProtection="0"/>
    <xf numFmtId="0" fontId="15" fillId="0" borderId="14" applyNumberFormat="0" applyFill="0" applyAlignment="0" applyProtection="0"/>
    <xf numFmtId="0" fontId="15" fillId="0" borderId="14" applyNumberFormat="0" applyFill="0" applyAlignment="0" applyProtection="0"/>
    <xf numFmtId="3" fontId="16" fillId="0" borderId="0" applyNumberFormat="0" applyBorder="0" applyAlignment="0" applyProtection="0"/>
    <xf numFmtId="3" fontId="16" fillId="0" borderId="0" applyNumberFormat="0" applyBorder="0" applyAlignment="0" applyProtection="0"/>
    <xf numFmtId="3" fontId="16" fillId="0" borderId="0" applyNumberFormat="0" applyBorder="0" applyAlignment="0" applyProtection="0"/>
    <xf numFmtId="3" fontId="16" fillId="0" borderId="0" applyNumberFormat="0" applyBorder="0" applyAlignment="0" applyProtection="0"/>
    <xf numFmtId="3" fontId="16" fillId="0" borderId="0" applyNumberFormat="0" applyBorder="0" applyAlignment="0" applyProtection="0"/>
    <xf numFmtId="3" fontId="16" fillId="0" borderId="15" applyNumberFormat="0" applyBorder="0" applyAlignment="0" applyProtection="0"/>
    <xf numFmtId="3" fontId="16" fillId="0" borderId="15" applyNumberFormat="0" applyBorder="0" applyAlignment="0" applyProtection="0"/>
    <xf numFmtId="3" fontId="16" fillId="0" borderId="15" applyNumberFormat="0" applyBorder="0" applyAlignment="0" applyProtection="0"/>
    <xf numFmtId="0" fontId="16" fillId="0" borderId="15" applyNumberFormat="0" applyFill="0" applyAlignment="0" applyProtection="0"/>
    <xf numFmtId="0" fontId="16" fillId="0" borderId="15" applyNumberFormat="0" applyFill="0" applyAlignment="0" applyProtection="0"/>
    <xf numFmtId="0" fontId="16" fillId="0" borderId="15">
      <alignment horizontal="right" vertical="center"/>
    </xf>
    <xf numFmtId="3" fontId="16" fillId="8" borderId="15">
      <alignment horizontal="center" vertical="center"/>
    </xf>
    <xf numFmtId="0" fontId="16" fillId="8" borderId="15">
      <alignment horizontal="right" vertical="center"/>
    </xf>
    <xf numFmtId="0" fontId="15" fillId="0" borderId="16">
      <alignment horizontal="left" vertical="center"/>
    </xf>
    <xf numFmtId="0" fontId="15" fillId="0" borderId="17">
      <alignment horizontal="center" vertical="center"/>
    </xf>
    <xf numFmtId="0" fontId="17" fillId="0" borderId="18">
      <alignment horizontal="center" vertical="center"/>
    </xf>
    <xf numFmtId="0" fontId="16" fillId="6" borderId="15"/>
    <xf numFmtId="3" fontId="15" fillId="0" borderId="14" applyFill="0" applyAlignment="0" applyProtection="0"/>
    <xf numFmtId="3" fontId="15" fillId="0" borderId="14" applyFill="0" applyAlignment="0" applyProtection="0"/>
    <xf numFmtId="3" fontId="15" fillId="0" borderId="14" applyFill="0" applyAlignment="0" applyProtection="0"/>
    <xf numFmtId="3" fontId="15" fillId="0" borderId="14" applyFill="0" applyAlignment="0" applyProtection="0"/>
    <xf numFmtId="0" fontId="15" fillId="0" borderId="14" applyFill="0" applyAlignment="0" applyProtection="0"/>
    <xf numFmtId="3" fontId="15" fillId="0" borderId="14" applyFill="0" applyAlignment="0" applyProtection="0"/>
    <xf numFmtId="0" fontId="15" fillId="0" borderId="17">
      <alignment horizontal="center" vertical="center"/>
    </xf>
    <xf numFmtId="0" fontId="15" fillId="0" borderId="17">
      <alignment horizontal="center" vertical="center"/>
    </xf>
    <xf numFmtId="3" fontId="16" fillId="0" borderId="15" applyFont="0" applyFill="0" applyAlignment="0" applyProtection="0"/>
    <xf numFmtId="0" fontId="16" fillId="0" borderId="15" applyFill="0" applyAlignment="0" applyProtection="0"/>
    <xf numFmtId="0" fontId="15" fillId="0" borderId="14" applyFill="0" applyAlignment="0" applyProtection="0"/>
    <xf numFmtId="3" fontId="15" fillId="0" borderId="14" applyFill="0" applyAlignment="0" applyProtection="0"/>
    <xf numFmtId="0" fontId="15" fillId="0" borderId="14" applyFill="0" applyAlignment="0" applyProtection="0"/>
    <xf numFmtId="0" fontId="15" fillId="0" borderId="14" applyFill="0" applyAlignment="0" applyProtection="0"/>
    <xf numFmtId="0" fontId="15" fillId="0" borderId="14" applyFill="0" applyAlignment="0" applyProtection="0"/>
    <xf numFmtId="0" fontId="15" fillId="0" borderId="14" applyFill="0" applyAlignment="0" applyProtection="0"/>
    <xf numFmtId="0" fontId="15" fillId="0" borderId="16">
      <alignment horizontal="left" vertical="center"/>
    </xf>
    <xf numFmtId="3" fontId="15" fillId="0" borderId="14" applyFill="0" applyAlignment="0" applyProtection="0"/>
    <xf numFmtId="3" fontId="18" fillId="0" borderId="15"/>
    <xf numFmtId="3" fontId="19" fillId="0" borderId="15"/>
    <xf numFmtId="0" fontId="15" fillId="0" borderId="17">
      <alignment horizontal="left" vertical="top"/>
    </xf>
    <xf numFmtId="0" fontId="20" fillId="0" borderId="15"/>
    <xf numFmtId="0" fontId="15" fillId="0" borderId="17">
      <alignment horizontal="left" vertical="center"/>
    </xf>
    <xf numFmtId="0" fontId="16" fillId="8" borderId="19"/>
    <xf numFmtId="3" fontId="16" fillId="0" borderId="15">
      <alignment horizontal="right" vertical="center"/>
    </xf>
    <xf numFmtId="0" fontId="15" fillId="0" borderId="17">
      <alignment horizontal="right" vertical="center"/>
    </xf>
    <xf numFmtId="0" fontId="16" fillId="0" borderId="18">
      <alignment horizontal="center" vertical="center"/>
    </xf>
    <xf numFmtId="3" fontId="16" fillId="0" borderId="15"/>
    <xf numFmtId="3" fontId="16" fillId="0" borderId="15"/>
    <xf numFmtId="0" fontId="16" fillId="0" borderId="18">
      <alignment horizontal="center" vertical="center" wrapText="1"/>
    </xf>
    <xf numFmtId="0" fontId="21" fillId="0" borderId="18">
      <alignment horizontal="left" vertical="center" indent="1"/>
    </xf>
    <xf numFmtId="0" fontId="22" fillId="0" borderId="15"/>
    <xf numFmtId="0" fontId="15" fillId="0" borderId="16">
      <alignment horizontal="left" vertical="center"/>
    </xf>
    <xf numFmtId="3" fontId="16" fillId="0" borderId="15">
      <alignment horizontal="center" vertical="center"/>
    </xf>
    <xf numFmtId="0" fontId="15" fillId="0" borderId="17">
      <alignment horizontal="center" vertical="center"/>
    </xf>
    <xf numFmtId="0" fontId="15" fillId="0" borderId="17">
      <alignment horizontal="center" vertical="center"/>
    </xf>
    <xf numFmtId="0" fontId="15" fillId="0" borderId="16">
      <alignment horizontal="left" vertical="center"/>
    </xf>
    <xf numFmtId="0" fontId="15" fillId="0" borderId="16">
      <alignment horizontal="left" vertical="center"/>
    </xf>
    <xf numFmtId="0" fontId="23" fillId="0" borderId="15"/>
    <xf numFmtId="164" fontId="1" fillId="0" borderId="0" applyFont="0" applyFill="0" applyBorder="0" applyAlignment="0" applyProtection="0"/>
    <xf numFmtId="0" fontId="24" fillId="0" borderId="0" applyNumberFormat="0" applyFill="0" applyBorder="0" applyAlignment="0" applyProtection="0"/>
  </cellStyleXfs>
  <cellXfs count="80">
    <xf numFmtId="0" fontId="0" fillId="0" borderId="0" xfId="0"/>
    <xf numFmtId="0" fontId="1" fillId="0" borderId="0" xfId="1"/>
    <xf numFmtId="0" fontId="3" fillId="0" borderId="0" xfId="1" applyFont="1" applyAlignment="1">
      <alignment horizontal="center"/>
    </xf>
    <xf numFmtId="0" fontId="8" fillId="0" borderId="2" xfId="1" applyFont="1" applyBorder="1" applyAlignment="1">
      <alignment horizontal="center" wrapText="1"/>
    </xf>
    <xf numFmtId="0" fontId="9" fillId="0" borderId="2" xfId="1" applyFont="1" applyBorder="1" applyAlignment="1">
      <alignment horizontal="center" wrapText="1"/>
    </xf>
    <xf numFmtId="0" fontId="9" fillId="0" borderId="2" xfId="1" applyFont="1" applyBorder="1" applyAlignment="1">
      <alignment horizontal="center"/>
    </xf>
    <xf numFmtId="0" fontId="8" fillId="0" borderId="3" xfId="1" applyFont="1" applyBorder="1" applyAlignment="1">
      <alignment horizontal="center" wrapText="1"/>
    </xf>
    <xf numFmtId="0" fontId="8" fillId="0" borderId="4" xfId="1" applyFont="1" applyBorder="1" applyAlignment="1">
      <alignment horizontal="center" wrapText="1"/>
    </xf>
    <xf numFmtId="0" fontId="9" fillId="0" borderId="2" xfId="1" applyFont="1" applyBorder="1"/>
    <xf numFmtId="0" fontId="8" fillId="3" borderId="3" xfId="1" applyFont="1" applyFill="1" applyBorder="1" applyAlignment="1">
      <alignment horizontal="center" wrapText="1"/>
    </xf>
    <xf numFmtId="0" fontId="8" fillId="3" borderId="5" xfId="1" applyFont="1" applyFill="1" applyBorder="1" applyAlignment="1">
      <alignment horizontal="center" wrapText="1"/>
    </xf>
    <xf numFmtId="0" fontId="8" fillId="4" borderId="3" xfId="1" applyFont="1" applyFill="1" applyBorder="1" applyAlignment="1">
      <alignment horizontal="center" wrapText="1"/>
    </xf>
    <xf numFmtId="0" fontId="8" fillId="4" borderId="5" xfId="1" applyFont="1" applyFill="1" applyBorder="1" applyAlignment="1">
      <alignment horizontal="center" wrapText="1"/>
    </xf>
    <xf numFmtId="0" fontId="10" fillId="0" borderId="2" xfId="1" applyFont="1" applyBorder="1" applyAlignment="1">
      <alignment vertical="center" wrapText="1"/>
    </xf>
    <xf numFmtId="4" fontId="10" fillId="0" borderId="2" xfId="1" applyNumberFormat="1" applyFont="1" applyBorder="1" applyAlignment="1">
      <alignment vertical="center" wrapText="1"/>
    </xf>
    <xf numFmtId="9" fontId="9" fillId="0" borderId="2" xfId="1" applyNumberFormat="1" applyFont="1" applyBorder="1" applyAlignment="1">
      <alignment wrapText="1"/>
    </xf>
    <xf numFmtId="0" fontId="10" fillId="0" borderId="2" xfId="1" applyFont="1" applyBorder="1" applyAlignment="1">
      <alignment wrapText="1"/>
    </xf>
    <xf numFmtId="0" fontId="9" fillId="0" borderId="2" xfId="1" applyFont="1" applyBorder="1" applyAlignment="1">
      <alignment wrapText="1"/>
    </xf>
    <xf numFmtId="4" fontId="9" fillId="0" borderId="2" xfId="1" applyNumberFormat="1" applyFont="1" applyBorder="1" applyAlignment="1">
      <alignment wrapText="1"/>
    </xf>
    <xf numFmtId="4" fontId="9" fillId="0" borderId="2" xfId="1" applyNumberFormat="1" applyFont="1" applyBorder="1" applyAlignment="1">
      <alignment vertical="center" wrapText="1"/>
    </xf>
    <xf numFmtId="4" fontId="10" fillId="0" borderId="2" xfId="1" applyNumberFormat="1" applyFont="1" applyBorder="1" applyAlignment="1">
      <alignment wrapText="1"/>
    </xf>
    <xf numFmtId="0" fontId="9" fillId="0" borderId="2" xfId="1" applyFont="1" applyBorder="1" applyAlignment="1">
      <alignment vertical="center" wrapText="1"/>
    </xf>
    <xf numFmtId="0" fontId="11" fillId="0" borderId="2" xfId="1" applyFont="1" applyBorder="1" applyAlignment="1">
      <alignment wrapText="1"/>
    </xf>
    <xf numFmtId="9" fontId="9" fillId="0" borderId="2" xfId="1" applyNumberFormat="1" applyFont="1" applyBorder="1" applyAlignment="1">
      <alignment vertical="center" wrapText="1"/>
    </xf>
    <xf numFmtId="0" fontId="8" fillId="5" borderId="2" xfId="1" applyFont="1" applyFill="1" applyBorder="1" applyAlignment="1">
      <alignment wrapText="1"/>
    </xf>
    <xf numFmtId="4" fontId="10" fillId="5" borderId="2" xfId="1" applyNumberFormat="1" applyFont="1" applyFill="1" applyBorder="1" applyAlignment="1">
      <alignment wrapText="1"/>
    </xf>
    <xf numFmtId="0" fontId="12" fillId="0" borderId="2" xfId="1" applyFont="1" applyBorder="1" applyAlignment="1">
      <alignment wrapText="1"/>
    </xf>
    <xf numFmtId="4" fontId="12" fillId="0" borderId="2" xfId="1" applyNumberFormat="1" applyFont="1" applyBorder="1" applyAlignment="1">
      <alignment wrapText="1"/>
    </xf>
    <xf numFmtId="0" fontId="12" fillId="0" borderId="2" xfId="1" applyFont="1" applyBorder="1"/>
    <xf numFmtId="4" fontId="12" fillId="0" borderId="2" xfId="1" applyNumberFormat="1" applyFont="1" applyBorder="1"/>
    <xf numFmtId="0" fontId="13" fillId="0" borderId="2" xfId="1" applyFont="1" applyBorder="1"/>
    <xf numFmtId="4" fontId="13" fillId="0" borderId="2" xfId="1" applyNumberFormat="1" applyFont="1" applyBorder="1"/>
    <xf numFmtId="3" fontId="1" fillId="0" borderId="0" xfId="1" applyNumberFormat="1"/>
    <xf numFmtId="4" fontId="1" fillId="0" borderId="0" xfId="1" applyNumberFormat="1"/>
    <xf numFmtId="0" fontId="10" fillId="0" borderId="2" xfId="1" applyFont="1" applyBorder="1"/>
    <xf numFmtId="0" fontId="3" fillId="0" borderId="0" xfId="1" applyFont="1"/>
    <xf numFmtId="0" fontId="8" fillId="0" borderId="2" xfId="1" applyFont="1" applyBorder="1" applyAlignment="1">
      <alignment horizontal="center"/>
    </xf>
    <xf numFmtId="0" fontId="8" fillId="0" borderId="3" xfId="1" applyFont="1" applyBorder="1" applyAlignment="1">
      <alignment horizontal="center"/>
    </xf>
    <xf numFmtId="0" fontId="10" fillId="0" borderId="2" xfId="1" applyFont="1" applyBorder="1" applyAlignment="1">
      <alignment vertical="center"/>
    </xf>
    <xf numFmtId="0" fontId="9" fillId="0" borderId="2" xfId="1" applyFont="1" applyBorder="1" applyAlignment="1">
      <alignment vertical="center"/>
    </xf>
    <xf numFmtId="0" fontId="11" fillId="0" borderId="2" xfId="1" applyFont="1" applyBorder="1"/>
    <xf numFmtId="0" fontId="8" fillId="5" borderId="2" xfId="1" applyFont="1" applyFill="1" applyBorder="1"/>
    <xf numFmtId="0" fontId="1" fillId="0" borderId="6" xfId="1" applyBorder="1"/>
    <xf numFmtId="0" fontId="1" fillId="0" borderId="7" xfId="1" applyBorder="1"/>
    <xf numFmtId="0" fontId="1" fillId="0" borderId="8" xfId="1" applyBorder="1"/>
    <xf numFmtId="0" fontId="1" fillId="0" borderId="9" xfId="1" applyBorder="1"/>
    <xf numFmtId="0" fontId="1" fillId="0" borderId="10" xfId="1" applyBorder="1"/>
    <xf numFmtId="0" fontId="1" fillId="0" borderId="12" xfId="1" applyBorder="1"/>
    <xf numFmtId="0" fontId="2" fillId="0" borderId="12" xfId="1" applyFont="1" applyBorder="1"/>
    <xf numFmtId="0" fontId="1" fillId="0" borderId="13" xfId="1" applyBorder="1"/>
    <xf numFmtId="0" fontId="14" fillId="0" borderId="12" xfId="1" applyFont="1" applyBorder="1"/>
    <xf numFmtId="9" fontId="11" fillId="0" borderId="2" xfId="1" applyNumberFormat="1" applyFont="1" applyBorder="1" applyAlignment="1">
      <alignment wrapText="1"/>
    </xf>
    <xf numFmtId="0" fontId="1" fillId="0" borderId="0" xfId="1" applyAlignment="1">
      <alignment horizontal="left"/>
    </xf>
    <xf numFmtId="0" fontId="14" fillId="0" borderId="11" xfId="1" applyFont="1" applyBorder="1"/>
    <xf numFmtId="0" fontId="0" fillId="0" borderId="0" xfId="0" quotePrefix="1"/>
    <xf numFmtId="0" fontId="3" fillId="7" borderId="3" xfId="1" applyFont="1" applyFill="1" applyBorder="1" applyAlignment="1">
      <alignment horizontal="center"/>
    </xf>
    <xf numFmtId="164" fontId="1" fillId="7" borderId="2" xfId="75" applyFont="1" applyFill="1" applyBorder="1" applyAlignment="1"/>
    <xf numFmtId="0" fontId="8" fillId="0" borderId="3" xfId="1" applyFont="1" applyBorder="1" applyAlignment="1">
      <alignment horizontal="center" vertical="center" wrapText="1"/>
    </xf>
    <xf numFmtId="0" fontId="8" fillId="0" borderId="4" xfId="1" applyFont="1" applyBorder="1" applyAlignment="1">
      <alignment horizontal="center" vertical="center" wrapText="1"/>
    </xf>
    <xf numFmtId="0" fontId="8" fillId="0" borderId="5" xfId="1" applyFont="1" applyBorder="1" applyAlignment="1">
      <alignment horizontal="center" vertical="center" wrapText="1"/>
    </xf>
    <xf numFmtId="0" fontId="4" fillId="2" borderId="0" xfId="1" applyFont="1" applyFill="1" applyAlignment="1">
      <alignment horizontal="center" vertical="top" wrapText="1"/>
    </xf>
    <xf numFmtId="0" fontId="7" fillId="2" borderId="0" xfId="1" applyFont="1" applyFill="1" applyAlignment="1">
      <alignment horizontal="left" vertical="top" wrapText="1"/>
    </xf>
    <xf numFmtId="0" fontId="1" fillId="0" borderId="1" xfId="1" applyBorder="1" applyAlignment="1">
      <alignment horizontal="center"/>
    </xf>
    <xf numFmtId="0" fontId="8" fillId="0" borderId="3" xfId="1" applyFont="1" applyBorder="1" applyAlignment="1">
      <alignment horizontal="center" wrapText="1"/>
    </xf>
    <xf numFmtId="0" fontId="8" fillId="0" borderId="4" xfId="1" applyFont="1" applyBorder="1" applyAlignment="1">
      <alignment horizontal="center" wrapText="1"/>
    </xf>
    <xf numFmtId="0" fontId="8" fillId="0" borderId="5" xfId="1" applyFont="1" applyBorder="1" applyAlignment="1">
      <alignment horizontal="center" wrapText="1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9" borderId="20" xfId="0" applyFill="1" applyBorder="1"/>
    <xf numFmtId="0" fontId="24" fillId="0" borderId="0" xfId="76" applyAlignment="1">
      <alignment horizontal="center"/>
    </xf>
    <xf numFmtId="0" fontId="24" fillId="0" borderId="0" xfId="76" applyBorder="1"/>
    <xf numFmtId="0" fontId="26" fillId="0" borderId="6" xfId="0" applyFont="1" applyBorder="1"/>
    <xf numFmtId="0" fontId="25" fillId="0" borderId="0" xfId="0" applyFont="1" applyBorder="1" applyAlignment="1">
      <alignment horizontal="right"/>
    </xf>
  </cellXfs>
  <cellStyles count="77">
    <cellStyle name="AF Column - IBM Cognos" xfId="2" xr:uid="{1DE6F988-B46E-4BC6-980E-BBCD9E29F8F2}"/>
    <cellStyle name="AF Data - IBM Cognos" xfId="3" xr:uid="{6E6BF3CE-2612-4CFE-ACE9-A5328C2F72C6}"/>
    <cellStyle name="AF Data 0 - IBM Cognos" xfId="4" xr:uid="{F3E67766-417B-47E5-9587-078B886FEAC2}"/>
    <cellStyle name="AF Data 1 - IBM Cognos" xfId="5" xr:uid="{2036FB24-1D6D-4696-82EC-5EC97355B203}"/>
    <cellStyle name="AF Data 2 - IBM Cognos" xfId="6" xr:uid="{13230FB2-478D-478B-AE43-8A187B12D92B}"/>
    <cellStyle name="AF Data 3 - IBM Cognos" xfId="7" xr:uid="{91E9D9EC-6BE5-4C3B-87A7-275951115C9D}"/>
    <cellStyle name="AF Data 4 - IBM Cognos" xfId="8" xr:uid="{7CAB5F61-4D96-40C4-89C0-32DF7703ACAE}"/>
    <cellStyle name="AF Data 5 - IBM Cognos" xfId="9" xr:uid="{17DE85D8-95EB-4906-8BDF-81631D941F17}"/>
    <cellStyle name="AF Data Leaf - IBM Cognos" xfId="10" xr:uid="{D8A1DE74-5851-4155-BA0E-8063F8C94AD0}"/>
    <cellStyle name="AF Header - IBM Cognos" xfId="11" xr:uid="{7998AAAC-67D7-4AC5-B508-5BBA55C00C1C}"/>
    <cellStyle name="AF Header 0 - IBM Cognos" xfId="12" xr:uid="{6A43F37A-0F42-44DF-9ACF-C68090E3062F}"/>
    <cellStyle name="AF Header 1 - IBM Cognos" xfId="13" xr:uid="{E96F57AB-F1B2-43A2-BA72-E4133B71E6EA}"/>
    <cellStyle name="AF Header 2 - IBM Cognos" xfId="14" xr:uid="{9CFDA9DA-6B2C-4F3D-92A0-37D90B3B5ECB}"/>
    <cellStyle name="AF Header 3 - IBM Cognos" xfId="15" xr:uid="{3F83ED0E-1D7E-454A-940D-52B4B5BB333A}"/>
    <cellStyle name="AF Header 4 - IBM Cognos" xfId="16" xr:uid="{C4037A6E-4FCE-4BBC-8CDD-E5F811AE0C9A}"/>
    <cellStyle name="AF Header 5 - IBM Cognos" xfId="17" xr:uid="{2532DAD0-D546-49B9-973D-295B1196AA49}"/>
    <cellStyle name="AF Header Leaf - IBM Cognos" xfId="18" xr:uid="{5547524C-D202-4441-9CDB-D25A411BCF05}"/>
    <cellStyle name="AF Row - IBM Cognos" xfId="19" xr:uid="{7F1A8F33-52FF-40E1-A3F7-044B86E102AA}"/>
    <cellStyle name="AF Row 0 - IBM Cognos" xfId="20" xr:uid="{47E251BF-76A0-4292-BF6E-76A2520609D9}"/>
    <cellStyle name="AF Row 1 - IBM Cognos" xfId="21" xr:uid="{725A5EF0-962B-478B-9D71-F28ED41994CE}"/>
    <cellStyle name="AF Row 2 - IBM Cognos" xfId="22" xr:uid="{B83EA3FF-AD5A-49F2-AD8D-DEAACB476535}"/>
    <cellStyle name="AF Row 3 - IBM Cognos" xfId="23" xr:uid="{7BFB9F0D-4C20-4E05-B646-2B024E819309}"/>
    <cellStyle name="AF Row 4 - IBM Cognos" xfId="24" xr:uid="{B0D8EC21-4954-4327-A705-ABB4FCDBB19C}"/>
    <cellStyle name="AF Row 5 - IBM Cognos" xfId="25" xr:uid="{D069345B-F3E2-4FC2-B7FB-E8230A1D316D}"/>
    <cellStyle name="AF Row Leaf - IBM Cognos" xfId="26" xr:uid="{B7A22757-F780-4CB3-88CD-AEF1ACABDB0C}"/>
    <cellStyle name="AF Subnm - IBM Cognos" xfId="27" xr:uid="{63BECF30-AF8F-4797-B87F-5F3000FA9F52}"/>
    <cellStyle name="AF Title - IBM Cognos" xfId="28" xr:uid="{44EE8D13-2244-4294-B9B8-9257AF632B6C}"/>
    <cellStyle name="Calculated Column - IBM Cognos" xfId="29" xr:uid="{4EB90F1A-4B79-4C79-ADE9-329CD5E7A8E1}"/>
    <cellStyle name="Calculated Column Name - IBM Cognos" xfId="30" xr:uid="{AD7FA3DB-1646-439D-83B8-98626055F4F4}"/>
    <cellStyle name="Calculated Row - IBM Cognos" xfId="31" xr:uid="{D33E80E8-0991-41F9-8624-8D6DC0977876}"/>
    <cellStyle name="Calculated Row Name - IBM Cognos" xfId="32" xr:uid="{49C76FB9-8493-411E-B49F-B91914E6BE7A}"/>
    <cellStyle name="Column Name - IBM Cognos" xfId="33" xr:uid="{0A6922AC-DD2B-44D0-B2E1-8F240FF7081A}"/>
    <cellStyle name="Column Template - IBM Cognos" xfId="34" xr:uid="{B24098F5-9656-4F2E-A566-A024B0F36C95}"/>
    <cellStyle name="Differs From Base - IBM Cognos" xfId="35" xr:uid="{F2DCC319-F230-4315-8824-310BC7D38008}"/>
    <cellStyle name="DQR Column 0 - IBM Cognos" xfId="36" xr:uid="{D21E5CBD-D6F7-4561-AC7E-105BE6570003}"/>
    <cellStyle name="DQR Column 1 - IBM Cognos" xfId="37" xr:uid="{143D812E-EEDE-4570-8421-165C63A582FB}"/>
    <cellStyle name="DQR Column 2 - IBM Cognos" xfId="38" xr:uid="{F55E51F8-BB80-4210-B618-516E6AFEE1EB}"/>
    <cellStyle name="DQR Column 3 - IBM Cognos" xfId="39" xr:uid="{04CF2991-91C9-4B58-9170-1811F00CAE30}"/>
    <cellStyle name="DQR Column 4 - IBM Cognos" xfId="40" xr:uid="{DE81A60A-F927-4E66-870D-C2CFFE7F0738}"/>
    <cellStyle name="DQR Column 5 - IBM Cognos" xfId="41" xr:uid="{1788B46A-FBC4-4C12-A173-ABD82711A973}"/>
    <cellStyle name="DQR Column Default - IBM Cognos" xfId="42" xr:uid="{E2EFB32F-6C3C-4A63-8408-F054E3B3375F}"/>
    <cellStyle name="DQR Column Leaf - IBM Cognos" xfId="43" xr:uid="{2FB0B9B7-22E1-4089-8181-FF2008508E4F}"/>
    <cellStyle name="DQR Data Default - IBM Cognos" xfId="44" xr:uid="{112A521D-60E5-4EAF-963D-41E14E695675}"/>
    <cellStyle name="DQR Default - IBM Cognos" xfId="45" xr:uid="{6B9E351A-DF75-4B7C-9F72-99568725A948}"/>
    <cellStyle name="DQR Row 0 - IBM Cognos" xfId="46" xr:uid="{5A8F10BB-C2B0-4D73-A56A-6BDFA19805D6}"/>
    <cellStyle name="DQR Row 1 - IBM Cognos" xfId="47" xr:uid="{CEA001A6-9FD0-4BA2-B826-BB295907001F}"/>
    <cellStyle name="DQR Row 2 - IBM Cognos" xfId="48" xr:uid="{E4FB94AD-FCEE-409F-AA52-901210800AA0}"/>
    <cellStyle name="DQR Row 3 - IBM Cognos" xfId="49" xr:uid="{5A33F953-C4CB-4EE4-8937-ECCC8E744281}"/>
    <cellStyle name="DQR Row 4 - IBM Cognos" xfId="50" xr:uid="{C080B9A4-D651-4F89-9E4C-6D268D7E29AD}"/>
    <cellStyle name="DQR Row 5 - IBM Cognos" xfId="51" xr:uid="{07086EBE-71F3-4F07-AF37-F8B2EEC8913A}"/>
    <cellStyle name="DQR Row Default - IBM Cognos" xfId="52" xr:uid="{12EA2F99-0F4C-452B-BA96-36AB1822D51C}"/>
    <cellStyle name="DQR Row Leaf - IBM Cognos" xfId="53" xr:uid="{29D74BF6-B71E-47ED-B041-57A955D7451B}"/>
    <cellStyle name="Edit - IBM Cognos" xfId="54" xr:uid="{DE27807E-C555-4AD7-BEF3-236344CDD035}"/>
    <cellStyle name="Formula - IBM Cognos" xfId="55" xr:uid="{C9C33845-E200-4C50-AD7A-0E50BBDF0BED}"/>
    <cellStyle name="Group Name - IBM Cognos" xfId="56" xr:uid="{BFF50A50-0B8A-4287-BCC0-FBE8C2770EEF}"/>
    <cellStyle name="Hold Values - IBM Cognos" xfId="57" xr:uid="{43D9027B-0886-47F1-AE6C-5F919C9D34CC}"/>
    <cellStyle name="Lien hypertexte" xfId="76" builtinId="8"/>
    <cellStyle name="List Name - IBM Cognos" xfId="58" xr:uid="{65D6F829-F93E-4C4F-841F-996C83D719BF}"/>
    <cellStyle name="Locked - IBM Cognos" xfId="59" xr:uid="{ECD0A1EF-C547-4276-B2D7-B65E41187497}"/>
    <cellStyle name="Measure - IBM Cognos" xfId="60" xr:uid="{35211ADB-346B-4270-BAE2-3AC7075B8056}"/>
    <cellStyle name="Measure Header - IBM Cognos" xfId="61" xr:uid="{76128514-D7CF-4D43-8B7B-79723E56DACC}"/>
    <cellStyle name="Measure Name - IBM Cognos" xfId="62" xr:uid="{7BDB9963-A21D-4067-BBD7-FB8680316102}"/>
    <cellStyle name="Measure Summary - IBM Cognos" xfId="63" xr:uid="{4655C390-965B-480C-B249-33724F8B909A}"/>
    <cellStyle name="Measure Summary TM1 - IBM Cognos" xfId="64" xr:uid="{C5AD79C8-ABD1-4554-97CC-AA797DD92D3D}"/>
    <cellStyle name="Measure Template - IBM Cognos" xfId="65" xr:uid="{FBAA3D6C-E23B-4CBD-B5DB-168B5A3C7581}"/>
    <cellStyle name="Milliers 2" xfId="75" xr:uid="{681E5F5D-3DDF-4183-8822-BD31C42E3EF7}"/>
    <cellStyle name="More - IBM Cognos" xfId="66" xr:uid="{EF59EFDF-9C5D-4320-BD48-731D60A749C6}"/>
    <cellStyle name="Normal" xfId="0" builtinId="0" customBuiltin="1"/>
    <cellStyle name="Normal 2" xfId="1" xr:uid="{0AC53E37-8012-409F-B84F-0387D877EC02}"/>
    <cellStyle name="Pending Change - IBM Cognos" xfId="67" xr:uid="{F17CCFED-2031-4368-82D3-73E57717BF55}"/>
    <cellStyle name="Row Name - IBM Cognos" xfId="68" xr:uid="{EF04373D-F431-4F32-A7FB-E1B6CC4D53CB}"/>
    <cellStyle name="Row Template - IBM Cognos" xfId="69" xr:uid="{0AA2BE14-A06C-41AB-8DCD-13492A2A672D}"/>
    <cellStyle name="Summary Column Name - IBM Cognos" xfId="70" xr:uid="{E5BB4D6F-4C57-431A-BD20-F8C49EB86D57}"/>
    <cellStyle name="Summary Column Name TM1 - IBM Cognos" xfId="71" xr:uid="{21704696-C73E-4DE2-A301-22534C6F1152}"/>
    <cellStyle name="Summary Row Name - IBM Cognos" xfId="72" xr:uid="{AC0177A7-C7F8-4F6E-835F-245E6516DA5E}"/>
    <cellStyle name="Summary Row Name TM1 - IBM Cognos" xfId="73" xr:uid="{6F735D1C-E343-4EFF-AC51-89A7C6D9BCDE}"/>
    <cellStyle name="Unsaved Change - IBM Cognos" xfId="74" xr:uid="{805BE7E9-3C1D-4F99-B144-95230F11050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1038225</xdr:colOff>
      <xdr:row>12</xdr:row>
      <xdr:rowOff>47625</xdr:rowOff>
    </xdr:from>
    <xdr:to>
      <xdr:col>3</xdr:col>
      <xdr:colOff>2238375</xdr:colOff>
      <xdr:row>14</xdr:row>
      <xdr:rowOff>142875</xdr:rowOff>
    </xdr:to>
    <xdr:sp macro="Feuil2.ExecuteAction_9891dffb_a2a1_4866_a50c_1b98496b64c6" textlink="">
      <xdr:nvSpPr>
        <xdr:cNvPr id="2" name="TM1Button_9891dffb_a2a1_4866_a50c_1b98496b64c6">
          <a:extLst>
            <a:ext uri="{FF2B5EF4-FFF2-40B4-BE49-F238E27FC236}">
              <a16:creationId xmlns:a16="http://schemas.microsoft.com/office/drawing/2014/main" id="{A3275129-27E8-A625-38ED-D8E9563333B1}"/>
            </a:ext>
          </a:extLst>
        </xdr:cNvPr>
        <xdr:cNvSpPr txBox="1"/>
      </xdr:nvSpPr>
      <xdr:spPr>
        <a:xfrm>
          <a:off x="3143250" y="2352675"/>
          <a:ext cx="1200150" cy="476250"/>
        </a:xfrm>
        <a:prstGeom prst="rect">
          <a:avLst/>
        </a:prstGeom>
        <a:solidFill>
          <a:srgbClr val="F0F0F0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fr-FR" sz="1000" b="0" i="0" u="none" strike="noStrike">
              <a:solidFill>
                <a:srgbClr val="000000"/>
              </a:solidFill>
              <a:latin typeface="Arial" panose="020B0604020202020204" pitchFamily="34" charset="0"/>
            </a:rPr>
            <a:t>Actualiser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DONNEES\gherghiadelinaa\Desktop\Reporting%20Business\TBB%20Rolling%20D&#233;tails%20fin%20Mai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BB"/>
      <sheetName val="unités"/>
      <sheetName val="CA K€"/>
      <sheetName val="Marge K€"/>
      <sheetName val="Portefeuille"/>
      <sheetName val="TCD FACTU"/>
      <sheetName val="TCD BCC"/>
      <sheetName val="TCD PTF"/>
      <sheetName val="TCD BCC (2)"/>
      <sheetName val="DataBas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10421-F2A5-4AB9-9E6F-2B92113779CE}">
  <sheetPr codeName="Feuil1">
    <tabColor theme="8" tint="0.79998168889431442"/>
  </sheetPr>
  <dimension ref="B1:B1153"/>
  <sheetViews>
    <sheetView workbookViewId="0"/>
  </sheetViews>
  <sheetFormatPr baseColWidth="10" defaultRowHeight="15" x14ac:dyDescent="0.25"/>
  <sheetData>
    <row r="1" spans="2:2" x14ac:dyDescent="0.25">
      <c r="B1" t="s">
        <v>1274</v>
      </c>
    </row>
    <row r="2" spans="2:2" x14ac:dyDescent="0.25">
      <c r="B2" s="54" t="s">
        <v>124</v>
      </c>
    </row>
    <row r="3" spans="2:2" x14ac:dyDescent="0.25">
      <c r="B3" s="54" t="s">
        <v>125</v>
      </c>
    </row>
    <row r="4" spans="2:2" x14ac:dyDescent="0.25">
      <c r="B4" s="54" t="s">
        <v>126</v>
      </c>
    </row>
    <row r="5" spans="2:2" x14ac:dyDescent="0.25">
      <c r="B5" s="54" t="s">
        <v>127</v>
      </c>
    </row>
    <row r="6" spans="2:2" x14ac:dyDescent="0.25">
      <c r="B6" s="54" t="s">
        <v>128</v>
      </c>
    </row>
    <row r="7" spans="2:2" x14ac:dyDescent="0.25">
      <c r="B7" s="54" t="s">
        <v>129</v>
      </c>
    </row>
    <row r="8" spans="2:2" x14ac:dyDescent="0.25">
      <c r="B8" s="54" t="s">
        <v>130</v>
      </c>
    </row>
    <row r="9" spans="2:2" x14ac:dyDescent="0.25">
      <c r="B9" s="54" t="s">
        <v>131</v>
      </c>
    </row>
    <row r="10" spans="2:2" x14ac:dyDescent="0.25">
      <c r="B10" s="54" t="s">
        <v>132</v>
      </c>
    </row>
    <row r="11" spans="2:2" x14ac:dyDescent="0.25">
      <c r="B11" s="54" t="s">
        <v>133</v>
      </c>
    </row>
    <row r="12" spans="2:2" x14ac:dyDescent="0.25">
      <c r="B12" s="54" t="s">
        <v>134</v>
      </c>
    </row>
    <row r="13" spans="2:2" x14ac:dyDescent="0.25">
      <c r="B13" s="54" t="s">
        <v>135</v>
      </c>
    </row>
    <row r="14" spans="2:2" x14ac:dyDescent="0.25">
      <c r="B14" s="54" t="s">
        <v>136</v>
      </c>
    </row>
    <row r="15" spans="2:2" x14ac:dyDescent="0.25">
      <c r="B15" s="54" t="s">
        <v>137</v>
      </c>
    </row>
    <row r="16" spans="2:2" x14ac:dyDescent="0.25">
      <c r="B16" s="54" t="s">
        <v>138</v>
      </c>
    </row>
    <row r="17" spans="2:2" x14ac:dyDescent="0.25">
      <c r="B17" s="54" t="s">
        <v>139</v>
      </c>
    </row>
    <row r="18" spans="2:2" x14ac:dyDescent="0.25">
      <c r="B18" s="54" t="s">
        <v>140</v>
      </c>
    </row>
    <row r="19" spans="2:2" x14ac:dyDescent="0.25">
      <c r="B19" s="54" t="s">
        <v>141</v>
      </c>
    </row>
    <row r="20" spans="2:2" x14ac:dyDescent="0.25">
      <c r="B20" s="54" t="s">
        <v>142</v>
      </c>
    </row>
    <row r="21" spans="2:2" x14ac:dyDescent="0.25">
      <c r="B21" s="54" t="s">
        <v>143</v>
      </c>
    </row>
    <row r="22" spans="2:2" x14ac:dyDescent="0.25">
      <c r="B22" s="54" t="s">
        <v>144</v>
      </c>
    </row>
    <row r="23" spans="2:2" x14ac:dyDescent="0.25">
      <c r="B23" s="54" t="s">
        <v>145</v>
      </c>
    </row>
    <row r="24" spans="2:2" x14ac:dyDescent="0.25">
      <c r="B24" s="54" t="s">
        <v>146</v>
      </c>
    </row>
    <row r="25" spans="2:2" x14ac:dyDescent="0.25">
      <c r="B25" s="54" t="s">
        <v>147</v>
      </c>
    </row>
    <row r="26" spans="2:2" x14ac:dyDescent="0.25">
      <c r="B26" s="54" t="s">
        <v>148</v>
      </c>
    </row>
    <row r="27" spans="2:2" x14ac:dyDescent="0.25">
      <c r="B27" s="54" t="s">
        <v>149</v>
      </c>
    </row>
    <row r="28" spans="2:2" x14ac:dyDescent="0.25">
      <c r="B28" s="54" t="s">
        <v>150</v>
      </c>
    </row>
    <row r="29" spans="2:2" x14ac:dyDescent="0.25">
      <c r="B29" s="54" t="s">
        <v>151</v>
      </c>
    </row>
    <row r="30" spans="2:2" x14ac:dyDescent="0.25">
      <c r="B30" s="54" t="s">
        <v>152</v>
      </c>
    </row>
    <row r="31" spans="2:2" x14ac:dyDescent="0.25">
      <c r="B31" s="54" t="s">
        <v>153</v>
      </c>
    </row>
    <row r="32" spans="2:2" x14ac:dyDescent="0.25">
      <c r="B32" s="54" t="s">
        <v>154</v>
      </c>
    </row>
    <row r="33" spans="2:2" x14ac:dyDescent="0.25">
      <c r="B33" s="54" t="s">
        <v>155</v>
      </c>
    </row>
    <row r="34" spans="2:2" x14ac:dyDescent="0.25">
      <c r="B34" s="54" t="s">
        <v>156</v>
      </c>
    </row>
    <row r="35" spans="2:2" x14ac:dyDescent="0.25">
      <c r="B35" s="54" t="s">
        <v>157</v>
      </c>
    </row>
    <row r="36" spans="2:2" x14ac:dyDescent="0.25">
      <c r="B36" s="54" t="s">
        <v>158</v>
      </c>
    </row>
    <row r="37" spans="2:2" x14ac:dyDescent="0.25">
      <c r="B37" s="54" t="s">
        <v>159</v>
      </c>
    </row>
    <row r="38" spans="2:2" x14ac:dyDescent="0.25">
      <c r="B38" s="54" t="s">
        <v>160</v>
      </c>
    </row>
    <row r="39" spans="2:2" x14ac:dyDescent="0.25">
      <c r="B39" s="54" t="s">
        <v>161</v>
      </c>
    </row>
    <row r="40" spans="2:2" x14ac:dyDescent="0.25">
      <c r="B40" s="54" t="s">
        <v>162</v>
      </c>
    </row>
    <row r="41" spans="2:2" x14ac:dyDescent="0.25">
      <c r="B41" s="54" t="s">
        <v>163</v>
      </c>
    </row>
    <row r="42" spans="2:2" x14ac:dyDescent="0.25">
      <c r="B42" s="54" t="s">
        <v>164</v>
      </c>
    </row>
    <row r="43" spans="2:2" x14ac:dyDescent="0.25">
      <c r="B43" s="54" t="s">
        <v>165</v>
      </c>
    </row>
    <row r="44" spans="2:2" x14ac:dyDescent="0.25">
      <c r="B44" s="54" t="s">
        <v>166</v>
      </c>
    </row>
    <row r="45" spans="2:2" x14ac:dyDescent="0.25">
      <c r="B45" s="54" t="s">
        <v>167</v>
      </c>
    </row>
    <row r="46" spans="2:2" x14ac:dyDescent="0.25">
      <c r="B46" s="54" t="s">
        <v>168</v>
      </c>
    </row>
    <row r="47" spans="2:2" x14ac:dyDescent="0.25">
      <c r="B47" s="54" t="s">
        <v>169</v>
      </c>
    </row>
    <row r="48" spans="2:2" x14ac:dyDescent="0.25">
      <c r="B48" s="54" t="s">
        <v>170</v>
      </c>
    </row>
    <row r="49" spans="2:2" x14ac:dyDescent="0.25">
      <c r="B49" s="54" t="s">
        <v>171</v>
      </c>
    </row>
    <row r="50" spans="2:2" x14ac:dyDescent="0.25">
      <c r="B50" s="54" t="s">
        <v>172</v>
      </c>
    </row>
    <row r="51" spans="2:2" x14ac:dyDescent="0.25">
      <c r="B51" s="54" t="s">
        <v>173</v>
      </c>
    </row>
    <row r="52" spans="2:2" x14ac:dyDescent="0.25">
      <c r="B52" s="54" t="s">
        <v>174</v>
      </c>
    </row>
    <row r="53" spans="2:2" x14ac:dyDescent="0.25">
      <c r="B53" s="54" t="s">
        <v>175</v>
      </c>
    </row>
    <row r="54" spans="2:2" x14ac:dyDescent="0.25">
      <c r="B54" s="54" t="s">
        <v>176</v>
      </c>
    </row>
    <row r="55" spans="2:2" x14ac:dyDescent="0.25">
      <c r="B55" s="54" t="s">
        <v>177</v>
      </c>
    </row>
    <row r="56" spans="2:2" x14ac:dyDescent="0.25">
      <c r="B56" s="54" t="s">
        <v>178</v>
      </c>
    </row>
    <row r="57" spans="2:2" x14ac:dyDescent="0.25">
      <c r="B57" s="54" t="s">
        <v>179</v>
      </c>
    </row>
    <row r="58" spans="2:2" x14ac:dyDescent="0.25">
      <c r="B58" s="54" t="s">
        <v>180</v>
      </c>
    </row>
    <row r="59" spans="2:2" x14ac:dyDescent="0.25">
      <c r="B59" s="54" t="s">
        <v>181</v>
      </c>
    </row>
    <row r="60" spans="2:2" x14ac:dyDescent="0.25">
      <c r="B60" s="54" t="s">
        <v>182</v>
      </c>
    </row>
    <row r="61" spans="2:2" x14ac:dyDescent="0.25">
      <c r="B61" s="54" t="s">
        <v>183</v>
      </c>
    </row>
    <row r="62" spans="2:2" x14ac:dyDescent="0.25">
      <c r="B62" s="54" t="s">
        <v>184</v>
      </c>
    </row>
    <row r="63" spans="2:2" x14ac:dyDescent="0.25">
      <c r="B63" s="54" t="s">
        <v>185</v>
      </c>
    </row>
    <row r="64" spans="2:2" x14ac:dyDescent="0.25">
      <c r="B64" s="54" t="s">
        <v>186</v>
      </c>
    </row>
    <row r="65" spans="2:2" x14ac:dyDescent="0.25">
      <c r="B65" s="54" t="s">
        <v>187</v>
      </c>
    </row>
    <row r="66" spans="2:2" x14ac:dyDescent="0.25">
      <c r="B66" s="54" t="s">
        <v>188</v>
      </c>
    </row>
    <row r="67" spans="2:2" x14ac:dyDescent="0.25">
      <c r="B67" s="54" t="s">
        <v>189</v>
      </c>
    </row>
    <row r="68" spans="2:2" x14ac:dyDescent="0.25">
      <c r="B68" s="54" t="s">
        <v>190</v>
      </c>
    </row>
    <row r="69" spans="2:2" x14ac:dyDescent="0.25">
      <c r="B69" s="54" t="s">
        <v>191</v>
      </c>
    </row>
    <row r="70" spans="2:2" x14ac:dyDescent="0.25">
      <c r="B70" s="54" t="s">
        <v>192</v>
      </c>
    </row>
    <row r="71" spans="2:2" x14ac:dyDescent="0.25">
      <c r="B71" s="54" t="s">
        <v>193</v>
      </c>
    </row>
    <row r="72" spans="2:2" x14ac:dyDescent="0.25">
      <c r="B72" s="54" t="s">
        <v>194</v>
      </c>
    </row>
    <row r="73" spans="2:2" x14ac:dyDescent="0.25">
      <c r="B73" s="54" t="s">
        <v>195</v>
      </c>
    </row>
    <row r="74" spans="2:2" x14ac:dyDescent="0.25">
      <c r="B74" s="54" t="s">
        <v>196</v>
      </c>
    </row>
    <row r="75" spans="2:2" x14ac:dyDescent="0.25">
      <c r="B75" s="54" t="s">
        <v>197</v>
      </c>
    </row>
    <row r="76" spans="2:2" x14ac:dyDescent="0.25">
      <c r="B76" s="54" t="s">
        <v>198</v>
      </c>
    </row>
    <row r="77" spans="2:2" x14ac:dyDescent="0.25">
      <c r="B77" s="54" t="s">
        <v>199</v>
      </c>
    </row>
    <row r="78" spans="2:2" x14ac:dyDescent="0.25">
      <c r="B78" s="54" t="s">
        <v>200</v>
      </c>
    </row>
    <row r="79" spans="2:2" x14ac:dyDescent="0.25">
      <c r="B79" s="54" t="s">
        <v>201</v>
      </c>
    </row>
    <row r="80" spans="2:2" x14ac:dyDescent="0.25">
      <c r="B80" s="54" t="s">
        <v>202</v>
      </c>
    </row>
    <row r="81" spans="2:2" x14ac:dyDescent="0.25">
      <c r="B81" s="54" t="s">
        <v>203</v>
      </c>
    </row>
    <row r="82" spans="2:2" x14ac:dyDescent="0.25">
      <c r="B82" s="54" t="s">
        <v>204</v>
      </c>
    </row>
    <row r="83" spans="2:2" x14ac:dyDescent="0.25">
      <c r="B83" s="54" t="s">
        <v>205</v>
      </c>
    </row>
    <row r="84" spans="2:2" x14ac:dyDescent="0.25">
      <c r="B84" s="54" t="s">
        <v>206</v>
      </c>
    </row>
    <row r="85" spans="2:2" x14ac:dyDescent="0.25">
      <c r="B85" s="54" t="s">
        <v>207</v>
      </c>
    </row>
    <row r="86" spans="2:2" x14ac:dyDescent="0.25">
      <c r="B86" s="54" t="s">
        <v>208</v>
      </c>
    </row>
    <row r="87" spans="2:2" x14ac:dyDescent="0.25">
      <c r="B87" s="54" t="s">
        <v>209</v>
      </c>
    </row>
    <row r="88" spans="2:2" x14ac:dyDescent="0.25">
      <c r="B88" s="54" t="s">
        <v>210</v>
      </c>
    </row>
    <row r="89" spans="2:2" x14ac:dyDescent="0.25">
      <c r="B89" s="54" t="s">
        <v>211</v>
      </c>
    </row>
    <row r="90" spans="2:2" x14ac:dyDescent="0.25">
      <c r="B90" s="54" t="s">
        <v>212</v>
      </c>
    </row>
    <row r="91" spans="2:2" x14ac:dyDescent="0.25">
      <c r="B91" s="54" t="s">
        <v>213</v>
      </c>
    </row>
    <row r="92" spans="2:2" x14ac:dyDescent="0.25">
      <c r="B92" s="54" t="s">
        <v>214</v>
      </c>
    </row>
    <row r="93" spans="2:2" x14ac:dyDescent="0.25">
      <c r="B93" s="54" t="s">
        <v>215</v>
      </c>
    </row>
    <row r="94" spans="2:2" x14ac:dyDescent="0.25">
      <c r="B94" s="54" t="s">
        <v>216</v>
      </c>
    </row>
    <row r="95" spans="2:2" x14ac:dyDescent="0.25">
      <c r="B95" s="54" t="s">
        <v>217</v>
      </c>
    </row>
    <row r="96" spans="2:2" x14ac:dyDescent="0.25">
      <c r="B96" s="54" t="s">
        <v>218</v>
      </c>
    </row>
    <row r="97" spans="2:2" x14ac:dyDescent="0.25">
      <c r="B97" s="54" t="s">
        <v>219</v>
      </c>
    </row>
    <row r="98" spans="2:2" x14ac:dyDescent="0.25">
      <c r="B98" s="54" t="s">
        <v>220</v>
      </c>
    </row>
    <row r="99" spans="2:2" x14ac:dyDescent="0.25">
      <c r="B99" s="54" t="s">
        <v>221</v>
      </c>
    </row>
    <row r="100" spans="2:2" x14ac:dyDescent="0.25">
      <c r="B100" s="54" t="s">
        <v>222</v>
      </c>
    </row>
    <row r="101" spans="2:2" x14ac:dyDescent="0.25">
      <c r="B101" s="54" t="s">
        <v>223</v>
      </c>
    </row>
    <row r="102" spans="2:2" x14ac:dyDescent="0.25">
      <c r="B102" s="54" t="s">
        <v>224</v>
      </c>
    </row>
    <row r="103" spans="2:2" x14ac:dyDescent="0.25">
      <c r="B103" s="54" t="s">
        <v>225</v>
      </c>
    </row>
    <row r="104" spans="2:2" x14ac:dyDescent="0.25">
      <c r="B104" s="54" t="s">
        <v>226</v>
      </c>
    </row>
    <row r="105" spans="2:2" x14ac:dyDescent="0.25">
      <c r="B105" s="54" t="s">
        <v>227</v>
      </c>
    </row>
    <row r="106" spans="2:2" x14ac:dyDescent="0.25">
      <c r="B106" s="54" t="s">
        <v>228</v>
      </c>
    </row>
    <row r="107" spans="2:2" x14ac:dyDescent="0.25">
      <c r="B107" s="54" t="s">
        <v>229</v>
      </c>
    </row>
    <row r="108" spans="2:2" x14ac:dyDescent="0.25">
      <c r="B108" s="54" t="s">
        <v>230</v>
      </c>
    </row>
    <row r="109" spans="2:2" x14ac:dyDescent="0.25">
      <c r="B109" s="54" t="s">
        <v>231</v>
      </c>
    </row>
    <row r="110" spans="2:2" x14ac:dyDescent="0.25">
      <c r="B110" s="54" t="s">
        <v>232</v>
      </c>
    </row>
    <row r="111" spans="2:2" x14ac:dyDescent="0.25">
      <c r="B111" s="54" t="s">
        <v>233</v>
      </c>
    </row>
    <row r="112" spans="2:2" x14ac:dyDescent="0.25">
      <c r="B112" s="54" t="s">
        <v>234</v>
      </c>
    </row>
    <row r="113" spans="2:2" x14ac:dyDescent="0.25">
      <c r="B113" s="54" t="s">
        <v>235</v>
      </c>
    </row>
    <row r="114" spans="2:2" x14ac:dyDescent="0.25">
      <c r="B114" s="54" t="s">
        <v>236</v>
      </c>
    </row>
    <row r="115" spans="2:2" x14ac:dyDescent="0.25">
      <c r="B115" s="54" t="s">
        <v>237</v>
      </c>
    </row>
    <row r="116" spans="2:2" x14ac:dyDescent="0.25">
      <c r="B116" s="54" t="s">
        <v>238</v>
      </c>
    </row>
    <row r="117" spans="2:2" x14ac:dyDescent="0.25">
      <c r="B117" s="54" t="s">
        <v>239</v>
      </c>
    </row>
    <row r="118" spans="2:2" x14ac:dyDescent="0.25">
      <c r="B118" s="54" t="s">
        <v>240</v>
      </c>
    </row>
    <row r="119" spans="2:2" x14ac:dyDescent="0.25">
      <c r="B119" s="54" t="s">
        <v>241</v>
      </c>
    </row>
    <row r="120" spans="2:2" x14ac:dyDescent="0.25">
      <c r="B120" s="54" t="s">
        <v>242</v>
      </c>
    </row>
    <row r="121" spans="2:2" x14ac:dyDescent="0.25">
      <c r="B121" s="54" t="s">
        <v>243</v>
      </c>
    </row>
    <row r="122" spans="2:2" x14ac:dyDescent="0.25">
      <c r="B122" s="54" t="s">
        <v>244</v>
      </c>
    </row>
    <row r="123" spans="2:2" x14ac:dyDescent="0.25">
      <c r="B123" s="54" t="s">
        <v>245</v>
      </c>
    </row>
    <row r="124" spans="2:2" x14ac:dyDescent="0.25">
      <c r="B124" s="54" t="s">
        <v>246</v>
      </c>
    </row>
    <row r="125" spans="2:2" x14ac:dyDescent="0.25">
      <c r="B125" s="54" t="s">
        <v>247</v>
      </c>
    </row>
    <row r="126" spans="2:2" x14ac:dyDescent="0.25">
      <c r="B126" s="54" t="s">
        <v>248</v>
      </c>
    </row>
    <row r="127" spans="2:2" x14ac:dyDescent="0.25">
      <c r="B127" s="54" t="s">
        <v>249</v>
      </c>
    </row>
    <row r="128" spans="2:2" x14ac:dyDescent="0.25">
      <c r="B128" s="54" t="s">
        <v>250</v>
      </c>
    </row>
    <row r="129" spans="2:2" x14ac:dyDescent="0.25">
      <c r="B129" s="54" t="s">
        <v>251</v>
      </c>
    </row>
    <row r="130" spans="2:2" x14ac:dyDescent="0.25">
      <c r="B130" s="54" t="s">
        <v>252</v>
      </c>
    </row>
    <row r="131" spans="2:2" x14ac:dyDescent="0.25">
      <c r="B131" s="54" t="s">
        <v>253</v>
      </c>
    </row>
    <row r="132" spans="2:2" x14ac:dyDescent="0.25">
      <c r="B132" s="54" t="s">
        <v>254</v>
      </c>
    </row>
    <row r="133" spans="2:2" x14ac:dyDescent="0.25">
      <c r="B133" s="54" t="s">
        <v>255</v>
      </c>
    </row>
    <row r="134" spans="2:2" x14ac:dyDescent="0.25">
      <c r="B134" s="54" t="s">
        <v>256</v>
      </c>
    </row>
    <row r="135" spans="2:2" x14ac:dyDescent="0.25">
      <c r="B135" s="54" t="s">
        <v>257</v>
      </c>
    </row>
    <row r="136" spans="2:2" x14ac:dyDescent="0.25">
      <c r="B136" s="54" t="s">
        <v>258</v>
      </c>
    </row>
    <row r="137" spans="2:2" x14ac:dyDescent="0.25">
      <c r="B137" s="54" t="s">
        <v>259</v>
      </c>
    </row>
    <row r="138" spans="2:2" x14ac:dyDescent="0.25">
      <c r="B138" s="54" t="s">
        <v>260</v>
      </c>
    </row>
    <row r="139" spans="2:2" x14ac:dyDescent="0.25">
      <c r="B139" s="54" t="s">
        <v>261</v>
      </c>
    </row>
    <row r="140" spans="2:2" x14ac:dyDescent="0.25">
      <c r="B140" s="54" t="s">
        <v>262</v>
      </c>
    </row>
    <row r="141" spans="2:2" x14ac:dyDescent="0.25">
      <c r="B141" s="54" t="s">
        <v>263</v>
      </c>
    </row>
    <row r="142" spans="2:2" x14ac:dyDescent="0.25">
      <c r="B142" s="54" t="s">
        <v>264</v>
      </c>
    </row>
    <row r="143" spans="2:2" x14ac:dyDescent="0.25">
      <c r="B143" s="54" t="s">
        <v>265</v>
      </c>
    </row>
    <row r="144" spans="2:2" x14ac:dyDescent="0.25">
      <c r="B144" s="54" t="s">
        <v>266</v>
      </c>
    </row>
    <row r="145" spans="2:2" x14ac:dyDescent="0.25">
      <c r="B145" s="54" t="s">
        <v>267</v>
      </c>
    </row>
    <row r="146" spans="2:2" x14ac:dyDescent="0.25">
      <c r="B146" s="54" t="s">
        <v>268</v>
      </c>
    </row>
    <row r="147" spans="2:2" x14ac:dyDescent="0.25">
      <c r="B147" s="54" t="s">
        <v>269</v>
      </c>
    </row>
    <row r="148" spans="2:2" x14ac:dyDescent="0.25">
      <c r="B148" s="54" t="s">
        <v>270</v>
      </c>
    </row>
    <row r="149" spans="2:2" x14ac:dyDescent="0.25">
      <c r="B149" s="54" t="s">
        <v>271</v>
      </c>
    </row>
    <row r="150" spans="2:2" x14ac:dyDescent="0.25">
      <c r="B150" s="54" t="s">
        <v>272</v>
      </c>
    </row>
    <row r="151" spans="2:2" x14ac:dyDescent="0.25">
      <c r="B151" s="54" t="s">
        <v>273</v>
      </c>
    </row>
    <row r="152" spans="2:2" x14ac:dyDescent="0.25">
      <c r="B152" s="54" t="s">
        <v>274</v>
      </c>
    </row>
    <row r="153" spans="2:2" x14ac:dyDescent="0.25">
      <c r="B153" s="54" t="s">
        <v>275</v>
      </c>
    </row>
    <row r="154" spans="2:2" x14ac:dyDescent="0.25">
      <c r="B154" s="54" t="s">
        <v>276</v>
      </c>
    </row>
    <row r="155" spans="2:2" x14ac:dyDescent="0.25">
      <c r="B155" s="54" t="s">
        <v>277</v>
      </c>
    </row>
    <row r="156" spans="2:2" x14ac:dyDescent="0.25">
      <c r="B156" s="54" t="s">
        <v>278</v>
      </c>
    </row>
    <row r="157" spans="2:2" x14ac:dyDescent="0.25">
      <c r="B157" s="54" t="s">
        <v>279</v>
      </c>
    </row>
    <row r="158" spans="2:2" x14ac:dyDescent="0.25">
      <c r="B158" s="54" t="s">
        <v>280</v>
      </c>
    </row>
    <row r="159" spans="2:2" x14ac:dyDescent="0.25">
      <c r="B159" s="54" t="s">
        <v>281</v>
      </c>
    </row>
    <row r="160" spans="2:2" x14ac:dyDescent="0.25">
      <c r="B160" s="54" t="s">
        <v>282</v>
      </c>
    </row>
    <row r="161" spans="2:2" x14ac:dyDescent="0.25">
      <c r="B161" s="54" t="s">
        <v>283</v>
      </c>
    </row>
    <row r="162" spans="2:2" x14ac:dyDescent="0.25">
      <c r="B162" s="54" t="s">
        <v>284</v>
      </c>
    </row>
    <row r="163" spans="2:2" x14ac:dyDescent="0.25">
      <c r="B163" s="54" t="s">
        <v>285</v>
      </c>
    </row>
    <row r="164" spans="2:2" x14ac:dyDescent="0.25">
      <c r="B164" s="54" t="s">
        <v>286</v>
      </c>
    </row>
    <row r="165" spans="2:2" x14ac:dyDescent="0.25">
      <c r="B165" s="54" t="s">
        <v>287</v>
      </c>
    </row>
    <row r="166" spans="2:2" x14ac:dyDescent="0.25">
      <c r="B166" s="54" t="s">
        <v>288</v>
      </c>
    </row>
    <row r="167" spans="2:2" x14ac:dyDescent="0.25">
      <c r="B167" s="54" t="s">
        <v>289</v>
      </c>
    </row>
    <row r="168" spans="2:2" x14ac:dyDescent="0.25">
      <c r="B168" s="54" t="s">
        <v>290</v>
      </c>
    </row>
    <row r="169" spans="2:2" x14ac:dyDescent="0.25">
      <c r="B169" s="54" t="s">
        <v>291</v>
      </c>
    </row>
    <row r="170" spans="2:2" x14ac:dyDescent="0.25">
      <c r="B170" s="54" t="s">
        <v>292</v>
      </c>
    </row>
    <row r="171" spans="2:2" x14ac:dyDescent="0.25">
      <c r="B171" s="54" t="s">
        <v>293</v>
      </c>
    </row>
    <row r="172" spans="2:2" x14ac:dyDescent="0.25">
      <c r="B172" s="54" t="s">
        <v>294</v>
      </c>
    </row>
    <row r="173" spans="2:2" x14ac:dyDescent="0.25">
      <c r="B173" s="54" t="s">
        <v>295</v>
      </c>
    </row>
    <row r="174" spans="2:2" x14ac:dyDescent="0.25">
      <c r="B174" s="54" t="s">
        <v>296</v>
      </c>
    </row>
    <row r="175" spans="2:2" x14ac:dyDescent="0.25">
      <c r="B175" s="54" t="s">
        <v>297</v>
      </c>
    </row>
    <row r="176" spans="2:2" x14ac:dyDescent="0.25">
      <c r="B176" s="54" t="s">
        <v>298</v>
      </c>
    </row>
    <row r="177" spans="2:2" x14ac:dyDescent="0.25">
      <c r="B177" s="54" t="s">
        <v>299</v>
      </c>
    </row>
    <row r="178" spans="2:2" x14ac:dyDescent="0.25">
      <c r="B178" s="54" t="s">
        <v>300</v>
      </c>
    </row>
    <row r="179" spans="2:2" x14ac:dyDescent="0.25">
      <c r="B179" s="54" t="s">
        <v>301</v>
      </c>
    </row>
    <row r="180" spans="2:2" x14ac:dyDescent="0.25">
      <c r="B180" s="54" t="s">
        <v>302</v>
      </c>
    </row>
    <row r="181" spans="2:2" x14ac:dyDescent="0.25">
      <c r="B181" s="54" t="s">
        <v>303</v>
      </c>
    </row>
    <row r="182" spans="2:2" x14ac:dyDescent="0.25">
      <c r="B182" s="54" t="s">
        <v>304</v>
      </c>
    </row>
    <row r="183" spans="2:2" x14ac:dyDescent="0.25">
      <c r="B183" s="54" t="s">
        <v>305</v>
      </c>
    </row>
    <row r="184" spans="2:2" x14ac:dyDescent="0.25">
      <c r="B184" s="54" t="s">
        <v>306</v>
      </c>
    </row>
    <row r="185" spans="2:2" x14ac:dyDescent="0.25">
      <c r="B185" s="54" t="s">
        <v>307</v>
      </c>
    </row>
    <row r="186" spans="2:2" x14ac:dyDescent="0.25">
      <c r="B186" s="54" t="s">
        <v>308</v>
      </c>
    </row>
    <row r="187" spans="2:2" x14ac:dyDescent="0.25">
      <c r="B187" s="54" t="s">
        <v>309</v>
      </c>
    </row>
    <row r="188" spans="2:2" x14ac:dyDescent="0.25">
      <c r="B188" s="54" t="s">
        <v>310</v>
      </c>
    </row>
    <row r="189" spans="2:2" x14ac:dyDescent="0.25">
      <c r="B189" s="54" t="s">
        <v>311</v>
      </c>
    </row>
    <row r="190" spans="2:2" x14ac:dyDescent="0.25">
      <c r="B190" s="54" t="s">
        <v>312</v>
      </c>
    </row>
    <row r="191" spans="2:2" x14ac:dyDescent="0.25">
      <c r="B191" s="54" t="s">
        <v>313</v>
      </c>
    </row>
    <row r="192" spans="2:2" x14ac:dyDescent="0.25">
      <c r="B192" s="54" t="s">
        <v>314</v>
      </c>
    </row>
    <row r="193" spans="2:2" x14ac:dyDescent="0.25">
      <c r="B193" s="54" t="s">
        <v>315</v>
      </c>
    </row>
    <row r="194" spans="2:2" x14ac:dyDescent="0.25">
      <c r="B194" s="54" t="s">
        <v>316</v>
      </c>
    </row>
    <row r="195" spans="2:2" x14ac:dyDescent="0.25">
      <c r="B195" s="54" t="s">
        <v>317</v>
      </c>
    </row>
    <row r="196" spans="2:2" x14ac:dyDescent="0.25">
      <c r="B196" s="54" t="s">
        <v>318</v>
      </c>
    </row>
    <row r="197" spans="2:2" x14ac:dyDescent="0.25">
      <c r="B197" s="54" t="s">
        <v>319</v>
      </c>
    </row>
    <row r="198" spans="2:2" x14ac:dyDescent="0.25">
      <c r="B198" s="54" t="s">
        <v>320</v>
      </c>
    </row>
    <row r="199" spans="2:2" x14ac:dyDescent="0.25">
      <c r="B199" s="54" t="s">
        <v>321</v>
      </c>
    </row>
    <row r="200" spans="2:2" x14ac:dyDescent="0.25">
      <c r="B200" s="54" t="s">
        <v>322</v>
      </c>
    </row>
    <row r="201" spans="2:2" x14ac:dyDescent="0.25">
      <c r="B201" s="54" t="s">
        <v>323</v>
      </c>
    </row>
    <row r="202" spans="2:2" x14ac:dyDescent="0.25">
      <c r="B202" s="54" t="s">
        <v>324</v>
      </c>
    </row>
    <row r="203" spans="2:2" x14ac:dyDescent="0.25">
      <c r="B203" s="54" t="s">
        <v>325</v>
      </c>
    </row>
    <row r="204" spans="2:2" x14ac:dyDescent="0.25">
      <c r="B204" s="54" t="s">
        <v>326</v>
      </c>
    </row>
    <row r="205" spans="2:2" x14ac:dyDescent="0.25">
      <c r="B205" s="54" t="s">
        <v>327</v>
      </c>
    </row>
    <row r="206" spans="2:2" x14ac:dyDescent="0.25">
      <c r="B206" s="54" t="s">
        <v>328</v>
      </c>
    </row>
    <row r="207" spans="2:2" x14ac:dyDescent="0.25">
      <c r="B207" s="54" t="s">
        <v>329</v>
      </c>
    </row>
    <row r="208" spans="2:2" x14ac:dyDescent="0.25">
      <c r="B208" s="54" t="s">
        <v>330</v>
      </c>
    </row>
    <row r="209" spans="2:2" x14ac:dyDescent="0.25">
      <c r="B209" s="54" t="s">
        <v>331</v>
      </c>
    </row>
    <row r="210" spans="2:2" x14ac:dyDescent="0.25">
      <c r="B210" s="54" t="s">
        <v>332</v>
      </c>
    </row>
    <row r="211" spans="2:2" x14ac:dyDescent="0.25">
      <c r="B211" s="54" t="s">
        <v>333</v>
      </c>
    </row>
    <row r="212" spans="2:2" x14ac:dyDescent="0.25">
      <c r="B212" s="54" t="s">
        <v>334</v>
      </c>
    </row>
    <row r="213" spans="2:2" x14ac:dyDescent="0.25">
      <c r="B213" s="54" t="s">
        <v>335</v>
      </c>
    </row>
    <row r="214" spans="2:2" x14ac:dyDescent="0.25">
      <c r="B214" s="54" t="s">
        <v>336</v>
      </c>
    </row>
    <row r="215" spans="2:2" x14ac:dyDescent="0.25">
      <c r="B215" s="54" t="s">
        <v>337</v>
      </c>
    </row>
    <row r="216" spans="2:2" x14ac:dyDescent="0.25">
      <c r="B216" s="54" t="s">
        <v>338</v>
      </c>
    </row>
    <row r="217" spans="2:2" x14ac:dyDescent="0.25">
      <c r="B217" s="54" t="s">
        <v>339</v>
      </c>
    </row>
    <row r="218" spans="2:2" x14ac:dyDescent="0.25">
      <c r="B218" s="54" t="s">
        <v>340</v>
      </c>
    </row>
    <row r="219" spans="2:2" x14ac:dyDescent="0.25">
      <c r="B219" s="54" t="s">
        <v>341</v>
      </c>
    </row>
    <row r="220" spans="2:2" x14ac:dyDescent="0.25">
      <c r="B220" s="54" t="s">
        <v>342</v>
      </c>
    </row>
    <row r="221" spans="2:2" x14ac:dyDescent="0.25">
      <c r="B221" s="54" t="s">
        <v>343</v>
      </c>
    </row>
    <row r="222" spans="2:2" x14ac:dyDescent="0.25">
      <c r="B222" s="54" t="s">
        <v>344</v>
      </c>
    </row>
    <row r="223" spans="2:2" x14ac:dyDescent="0.25">
      <c r="B223" s="54" t="s">
        <v>345</v>
      </c>
    </row>
    <row r="224" spans="2:2" x14ac:dyDescent="0.25">
      <c r="B224" s="54" t="s">
        <v>346</v>
      </c>
    </row>
    <row r="225" spans="2:2" x14ac:dyDescent="0.25">
      <c r="B225" s="54" t="s">
        <v>347</v>
      </c>
    </row>
    <row r="226" spans="2:2" x14ac:dyDescent="0.25">
      <c r="B226" s="54" t="s">
        <v>348</v>
      </c>
    </row>
    <row r="227" spans="2:2" x14ac:dyDescent="0.25">
      <c r="B227" s="54" t="s">
        <v>349</v>
      </c>
    </row>
    <row r="228" spans="2:2" x14ac:dyDescent="0.25">
      <c r="B228" s="54" t="s">
        <v>350</v>
      </c>
    </row>
    <row r="229" spans="2:2" x14ac:dyDescent="0.25">
      <c r="B229" s="54" t="s">
        <v>351</v>
      </c>
    </row>
    <row r="230" spans="2:2" x14ac:dyDescent="0.25">
      <c r="B230" s="54" t="s">
        <v>352</v>
      </c>
    </row>
    <row r="231" spans="2:2" x14ac:dyDescent="0.25">
      <c r="B231" s="54" t="s">
        <v>353</v>
      </c>
    </row>
    <row r="232" spans="2:2" x14ac:dyDescent="0.25">
      <c r="B232" s="54" t="s">
        <v>354</v>
      </c>
    </row>
    <row r="233" spans="2:2" x14ac:dyDescent="0.25">
      <c r="B233" s="54" t="s">
        <v>355</v>
      </c>
    </row>
    <row r="234" spans="2:2" x14ac:dyDescent="0.25">
      <c r="B234" s="54" t="s">
        <v>356</v>
      </c>
    </row>
    <row r="235" spans="2:2" x14ac:dyDescent="0.25">
      <c r="B235" s="54" t="s">
        <v>357</v>
      </c>
    </row>
    <row r="236" spans="2:2" x14ac:dyDescent="0.25">
      <c r="B236" s="54" t="s">
        <v>358</v>
      </c>
    </row>
    <row r="237" spans="2:2" x14ac:dyDescent="0.25">
      <c r="B237" s="54" t="s">
        <v>359</v>
      </c>
    </row>
    <row r="238" spans="2:2" x14ac:dyDescent="0.25">
      <c r="B238" s="54" t="s">
        <v>360</v>
      </c>
    </row>
    <row r="239" spans="2:2" x14ac:dyDescent="0.25">
      <c r="B239" s="54" t="s">
        <v>361</v>
      </c>
    </row>
    <row r="240" spans="2:2" x14ac:dyDescent="0.25">
      <c r="B240" s="54" t="s">
        <v>362</v>
      </c>
    </row>
    <row r="241" spans="2:2" x14ac:dyDescent="0.25">
      <c r="B241" s="54" t="s">
        <v>363</v>
      </c>
    </row>
    <row r="242" spans="2:2" x14ac:dyDescent="0.25">
      <c r="B242" s="54" t="s">
        <v>364</v>
      </c>
    </row>
    <row r="243" spans="2:2" x14ac:dyDescent="0.25">
      <c r="B243" s="54" t="s">
        <v>365</v>
      </c>
    </row>
    <row r="244" spans="2:2" x14ac:dyDescent="0.25">
      <c r="B244" s="54" t="s">
        <v>366</v>
      </c>
    </row>
    <row r="245" spans="2:2" x14ac:dyDescent="0.25">
      <c r="B245" s="54" t="s">
        <v>367</v>
      </c>
    </row>
    <row r="246" spans="2:2" x14ac:dyDescent="0.25">
      <c r="B246" s="54" t="s">
        <v>368</v>
      </c>
    </row>
    <row r="247" spans="2:2" x14ac:dyDescent="0.25">
      <c r="B247" s="54" t="s">
        <v>369</v>
      </c>
    </row>
    <row r="248" spans="2:2" x14ac:dyDescent="0.25">
      <c r="B248" s="54" t="s">
        <v>370</v>
      </c>
    </row>
    <row r="249" spans="2:2" x14ac:dyDescent="0.25">
      <c r="B249" s="54" t="s">
        <v>371</v>
      </c>
    </row>
    <row r="250" spans="2:2" x14ac:dyDescent="0.25">
      <c r="B250" s="54" t="s">
        <v>372</v>
      </c>
    </row>
    <row r="251" spans="2:2" x14ac:dyDescent="0.25">
      <c r="B251" s="54" t="s">
        <v>373</v>
      </c>
    </row>
    <row r="252" spans="2:2" x14ac:dyDescent="0.25">
      <c r="B252" s="54" t="s">
        <v>374</v>
      </c>
    </row>
    <row r="253" spans="2:2" x14ac:dyDescent="0.25">
      <c r="B253" s="54" t="s">
        <v>375</v>
      </c>
    </row>
    <row r="254" spans="2:2" x14ac:dyDescent="0.25">
      <c r="B254" s="54" t="s">
        <v>376</v>
      </c>
    </row>
    <row r="255" spans="2:2" x14ac:dyDescent="0.25">
      <c r="B255" s="54" t="s">
        <v>377</v>
      </c>
    </row>
    <row r="256" spans="2:2" x14ac:dyDescent="0.25">
      <c r="B256" s="54" t="s">
        <v>378</v>
      </c>
    </row>
    <row r="257" spans="2:2" x14ac:dyDescent="0.25">
      <c r="B257" s="54" t="s">
        <v>379</v>
      </c>
    </row>
    <row r="258" spans="2:2" x14ac:dyDescent="0.25">
      <c r="B258" s="54" t="s">
        <v>380</v>
      </c>
    </row>
    <row r="259" spans="2:2" x14ac:dyDescent="0.25">
      <c r="B259" s="54" t="s">
        <v>381</v>
      </c>
    </row>
    <row r="260" spans="2:2" x14ac:dyDescent="0.25">
      <c r="B260" s="54" t="s">
        <v>382</v>
      </c>
    </row>
    <row r="261" spans="2:2" x14ac:dyDescent="0.25">
      <c r="B261" s="54" t="s">
        <v>383</v>
      </c>
    </row>
    <row r="262" spans="2:2" x14ac:dyDescent="0.25">
      <c r="B262" s="54" t="s">
        <v>384</v>
      </c>
    </row>
    <row r="263" spans="2:2" x14ac:dyDescent="0.25">
      <c r="B263" s="54" t="s">
        <v>385</v>
      </c>
    </row>
    <row r="264" spans="2:2" x14ac:dyDescent="0.25">
      <c r="B264" s="54" t="s">
        <v>386</v>
      </c>
    </row>
    <row r="265" spans="2:2" x14ac:dyDescent="0.25">
      <c r="B265" s="54" t="s">
        <v>387</v>
      </c>
    </row>
    <row r="266" spans="2:2" x14ac:dyDescent="0.25">
      <c r="B266" s="54" t="s">
        <v>388</v>
      </c>
    </row>
    <row r="267" spans="2:2" x14ac:dyDescent="0.25">
      <c r="B267" s="54" t="s">
        <v>389</v>
      </c>
    </row>
    <row r="268" spans="2:2" x14ac:dyDescent="0.25">
      <c r="B268" s="54" t="s">
        <v>390</v>
      </c>
    </row>
    <row r="269" spans="2:2" x14ac:dyDescent="0.25">
      <c r="B269" s="54" t="s">
        <v>391</v>
      </c>
    </row>
    <row r="270" spans="2:2" x14ac:dyDescent="0.25">
      <c r="B270" s="54" t="s">
        <v>392</v>
      </c>
    </row>
    <row r="271" spans="2:2" x14ac:dyDescent="0.25">
      <c r="B271" s="54" t="s">
        <v>393</v>
      </c>
    </row>
    <row r="272" spans="2:2" x14ac:dyDescent="0.25">
      <c r="B272" s="54" t="s">
        <v>394</v>
      </c>
    </row>
    <row r="273" spans="2:2" x14ac:dyDescent="0.25">
      <c r="B273" s="54" t="s">
        <v>395</v>
      </c>
    </row>
    <row r="274" spans="2:2" x14ac:dyDescent="0.25">
      <c r="B274" s="54" t="s">
        <v>396</v>
      </c>
    </row>
    <row r="275" spans="2:2" x14ac:dyDescent="0.25">
      <c r="B275" s="54" t="s">
        <v>397</v>
      </c>
    </row>
    <row r="276" spans="2:2" x14ac:dyDescent="0.25">
      <c r="B276" s="54" t="s">
        <v>398</v>
      </c>
    </row>
    <row r="277" spans="2:2" x14ac:dyDescent="0.25">
      <c r="B277" s="54" t="s">
        <v>399</v>
      </c>
    </row>
    <row r="278" spans="2:2" x14ac:dyDescent="0.25">
      <c r="B278" s="54" t="s">
        <v>400</v>
      </c>
    </row>
    <row r="279" spans="2:2" x14ac:dyDescent="0.25">
      <c r="B279" s="54" t="s">
        <v>401</v>
      </c>
    </row>
    <row r="280" spans="2:2" x14ac:dyDescent="0.25">
      <c r="B280" s="54" t="s">
        <v>402</v>
      </c>
    </row>
    <row r="281" spans="2:2" x14ac:dyDescent="0.25">
      <c r="B281" s="54" t="s">
        <v>403</v>
      </c>
    </row>
    <row r="282" spans="2:2" x14ac:dyDescent="0.25">
      <c r="B282" s="54" t="s">
        <v>404</v>
      </c>
    </row>
    <row r="283" spans="2:2" x14ac:dyDescent="0.25">
      <c r="B283" s="54" t="s">
        <v>405</v>
      </c>
    </row>
    <row r="284" spans="2:2" x14ac:dyDescent="0.25">
      <c r="B284" s="54" t="s">
        <v>406</v>
      </c>
    </row>
    <row r="285" spans="2:2" x14ac:dyDescent="0.25">
      <c r="B285" s="54" t="s">
        <v>407</v>
      </c>
    </row>
    <row r="286" spans="2:2" x14ac:dyDescent="0.25">
      <c r="B286" s="54" t="s">
        <v>408</v>
      </c>
    </row>
    <row r="287" spans="2:2" x14ac:dyDescent="0.25">
      <c r="B287" s="54" t="s">
        <v>409</v>
      </c>
    </row>
    <row r="288" spans="2:2" x14ac:dyDescent="0.25">
      <c r="B288" s="54" t="s">
        <v>410</v>
      </c>
    </row>
    <row r="289" spans="2:2" x14ac:dyDescent="0.25">
      <c r="B289" s="54" t="s">
        <v>411</v>
      </c>
    </row>
    <row r="290" spans="2:2" x14ac:dyDescent="0.25">
      <c r="B290" s="54" t="s">
        <v>412</v>
      </c>
    </row>
    <row r="291" spans="2:2" x14ac:dyDescent="0.25">
      <c r="B291" s="54" t="s">
        <v>413</v>
      </c>
    </row>
    <row r="292" spans="2:2" x14ac:dyDescent="0.25">
      <c r="B292" s="54" t="s">
        <v>414</v>
      </c>
    </row>
    <row r="293" spans="2:2" x14ac:dyDescent="0.25">
      <c r="B293" s="54" t="s">
        <v>415</v>
      </c>
    </row>
    <row r="294" spans="2:2" x14ac:dyDescent="0.25">
      <c r="B294" s="54" t="s">
        <v>416</v>
      </c>
    </row>
    <row r="295" spans="2:2" x14ac:dyDescent="0.25">
      <c r="B295" s="54" t="s">
        <v>417</v>
      </c>
    </row>
    <row r="296" spans="2:2" x14ac:dyDescent="0.25">
      <c r="B296" s="54" t="s">
        <v>418</v>
      </c>
    </row>
    <row r="297" spans="2:2" x14ac:dyDescent="0.25">
      <c r="B297" s="54" t="s">
        <v>419</v>
      </c>
    </row>
    <row r="298" spans="2:2" x14ac:dyDescent="0.25">
      <c r="B298" s="54" t="s">
        <v>420</v>
      </c>
    </row>
    <row r="299" spans="2:2" x14ac:dyDescent="0.25">
      <c r="B299" s="54" t="s">
        <v>421</v>
      </c>
    </row>
    <row r="300" spans="2:2" x14ac:dyDescent="0.25">
      <c r="B300" s="54" t="s">
        <v>422</v>
      </c>
    </row>
    <row r="301" spans="2:2" x14ac:dyDescent="0.25">
      <c r="B301" s="54" t="s">
        <v>423</v>
      </c>
    </row>
    <row r="302" spans="2:2" x14ac:dyDescent="0.25">
      <c r="B302" s="54" t="s">
        <v>424</v>
      </c>
    </row>
    <row r="303" spans="2:2" x14ac:dyDescent="0.25">
      <c r="B303" s="54" t="s">
        <v>425</v>
      </c>
    </row>
    <row r="304" spans="2:2" x14ac:dyDescent="0.25">
      <c r="B304" s="54" t="s">
        <v>426</v>
      </c>
    </row>
    <row r="305" spans="2:2" x14ac:dyDescent="0.25">
      <c r="B305" s="54" t="s">
        <v>427</v>
      </c>
    </row>
    <row r="306" spans="2:2" x14ac:dyDescent="0.25">
      <c r="B306" s="54" t="s">
        <v>428</v>
      </c>
    </row>
    <row r="307" spans="2:2" x14ac:dyDescent="0.25">
      <c r="B307" s="54" t="s">
        <v>429</v>
      </c>
    </row>
    <row r="308" spans="2:2" x14ac:dyDescent="0.25">
      <c r="B308" s="54" t="s">
        <v>430</v>
      </c>
    </row>
    <row r="309" spans="2:2" x14ac:dyDescent="0.25">
      <c r="B309" s="54" t="s">
        <v>431</v>
      </c>
    </row>
    <row r="310" spans="2:2" x14ac:dyDescent="0.25">
      <c r="B310" s="54" t="s">
        <v>432</v>
      </c>
    </row>
    <row r="311" spans="2:2" x14ac:dyDescent="0.25">
      <c r="B311" s="54" t="s">
        <v>433</v>
      </c>
    </row>
    <row r="312" spans="2:2" x14ac:dyDescent="0.25">
      <c r="B312" s="54" t="s">
        <v>434</v>
      </c>
    </row>
    <row r="313" spans="2:2" x14ac:dyDescent="0.25">
      <c r="B313" s="54" t="s">
        <v>435</v>
      </c>
    </row>
    <row r="314" spans="2:2" x14ac:dyDescent="0.25">
      <c r="B314" s="54" t="s">
        <v>436</v>
      </c>
    </row>
    <row r="315" spans="2:2" x14ac:dyDescent="0.25">
      <c r="B315" s="54" t="s">
        <v>437</v>
      </c>
    </row>
    <row r="316" spans="2:2" x14ac:dyDescent="0.25">
      <c r="B316" s="54" t="s">
        <v>438</v>
      </c>
    </row>
    <row r="317" spans="2:2" x14ac:dyDescent="0.25">
      <c r="B317" s="54" t="s">
        <v>439</v>
      </c>
    </row>
    <row r="318" spans="2:2" x14ac:dyDescent="0.25">
      <c r="B318" s="54" t="s">
        <v>440</v>
      </c>
    </row>
    <row r="319" spans="2:2" x14ac:dyDescent="0.25">
      <c r="B319" s="54" t="s">
        <v>441</v>
      </c>
    </row>
    <row r="320" spans="2:2" x14ac:dyDescent="0.25">
      <c r="B320" s="54" t="s">
        <v>442</v>
      </c>
    </row>
    <row r="321" spans="2:2" x14ac:dyDescent="0.25">
      <c r="B321" s="54" t="s">
        <v>443</v>
      </c>
    </row>
    <row r="322" spans="2:2" x14ac:dyDescent="0.25">
      <c r="B322" s="54" t="s">
        <v>444</v>
      </c>
    </row>
    <row r="323" spans="2:2" x14ac:dyDescent="0.25">
      <c r="B323" s="54" t="s">
        <v>445</v>
      </c>
    </row>
    <row r="324" spans="2:2" x14ac:dyDescent="0.25">
      <c r="B324" s="54" t="s">
        <v>446</v>
      </c>
    </row>
    <row r="325" spans="2:2" x14ac:dyDescent="0.25">
      <c r="B325" s="54" t="s">
        <v>447</v>
      </c>
    </row>
    <row r="326" spans="2:2" x14ac:dyDescent="0.25">
      <c r="B326" s="54" t="s">
        <v>448</v>
      </c>
    </row>
    <row r="327" spans="2:2" x14ac:dyDescent="0.25">
      <c r="B327" s="54" t="s">
        <v>449</v>
      </c>
    </row>
    <row r="328" spans="2:2" x14ac:dyDescent="0.25">
      <c r="B328" s="54" t="s">
        <v>450</v>
      </c>
    </row>
    <row r="329" spans="2:2" x14ac:dyDescent="0.25">
      <c r="B329" s="54" t="s">
        <v>451</v>
      </c>
    </row>
    <row r="330" spans="2:2" x14ac:dyDescent="0.25">
      <c r="B330" s="54" t="s">
        <v>452</v>
      </c>
    </row>
    <row r="331" spans="2:2" x14ac:dyDescent="0.25">
      <c r="B331" s="54" t="s">
        <v>453</v>
      </c>
    </row>
    <row r="332" spans="2:2" x14ac:dyDescent="0.25">
      <c r="B332" s="54" t="s">
        <v>454</v>
      </c>
    </row>
    <row r="333" spans="2:2" x14ac:dyDescent="0.25">
      <c r="B333" s="54" t="s">
        <v>455</v>
      </c>
    </row>
    <row r="334" spans="2:2" x14ac:dyDescent="0.25">
      <c r="B334" s="54" t="s">
        <v>456</v>
      </c>
    </row>
    <row r="335" spans="2:2" x14ac:dyDescent="0.25">
      <c r="B335" s="54" t="s">
        <v>457</v>
      </c>
    </row>
    <row r="336" spans="2:2" x14ac:dyDescent="0.25">
      <c r="B336" s="54" t="s">
        <v>458</v>
      </c>
    </row>
    <row r="337" spans="2:2" x14ac:dyDescent="0.25">
      <c r="B337" s="54" t="s">
        <v>459</v>
      </c>
    </row>
    <row r="338" spans="2:2" x14ac:dyDescent="0.25">
      <c r="B338" s="54" t="s">
        <v>460</v>
      </c>
    </row>
    <row r="339" spans="2:2" x14ac:dyDescent="0.25">
      <c r="B339" s="54" t="s">
        <v>461</v>
      </c>
    </row>
    <row r="340" spans="2:2" x14ac:dyDescent="0.25">
      <c r="B340" s="54" t="s">
        <v>462</v>
      </c>
    </row>
    <row r="341" spans="2:2" x14ac:dyDescent="0.25">
      <c r="B341" s="54" t="s">
        <v>463</v>
      </c>
    </row>
    <row r="342" spans="2:2" x14ac:dyDescent="0.25">
      <c r="B342" s="54" t="s">
        <v>464</v>
      </c>
    </row>
    <row r="343" spans="2:2" x14ac:dyDescent="0.25">
      <c r="B343" s="54" t="s">
        <v>465</v>
      </c>
    </row>
    <row r="344" spans="2:2" x14ac:dyDescent="0.25">
      <c r="B344" s="54" t="s">
        <v>466</v>
      </c>
    </row>
    <row r="345" spans="2:2" x14ac:dyDescent="0.25">
      <c r="B345" s="54" t="s">
        <v>467</v>
      </c>
    </row>
    <row r="346" spans="2:2" x14ac:dyDescent="0.25">
      <c r="B346" s="54" t="s">
        <v>468</v>
      </c>
    </row>
    <row r="347" spans="2:2" x14ac:dyDescent="0.25">
      <c r="B347" s="54" t="s">
        <v>469</v>
      </c>
    </row>
    <row r="348" spans="2:2" x14ac:dyDescent="0.25">
      <c r="B348" s="54" t="s">
        <v>470</v>
      </c>
    </row>
    <row r="349" spans="2:2" x14ac:dyDescent="0.25">
      <c r="B349" s="54" t="s">
        <v>471</v>
      </c>
    </row>
    <row r="350" spans="2:2" x14ac:dyDescent="0.25">
      <c r="B350" s="54" t="s">
        <v>472</v>
      </c>
    </row>
    <row r="351" spans="2:2" x14ac:dyDescent="0.25">
      <c r="B351" s="54" t="s">
        <v>473</v>
      </c>
    </row>
    <row r="352" spans="2:2" x14ac:dyDescent="0.25">
      <c r="B352" s="54" t="s">
        <v>474</v>
      </c>
    </row>
    <row r="353" spans="2:2" x14ac:dyDescent="0.25">
      <c r="B353" s="54" t="s">
        <v>475</v>
      </c>
    </row>
    <row r="354" spans="2:2" x14ac:dyDescent="0.25">
      <c r="B354" s="54" t="s">
        <v>476</v>
      </c>
    </row>
    <row r="355" spans="2:2" x14ac:dyDescent="0.25">
      <c r="B355" s="54" t="s">
        <v>477</v>
      </c>
    </row>
    <row r="356" spans="2:2" x14ac:dyDescent="0.25">
      <c r="B356" s="54" t="s">
        <v>478</v>
      </c>
    </row>
    <row r="357" spans="2:2" x14ac:dyDescent="0.25">
      <c r="B357" s="54" t="s">
        <v>479</v>
      </c>
    </row>
    <row r="358" spans="2:2" x14ac:dyDescent="0.25">
      <c r="B358" s="54" t="s">
        <v>480</v>
      </c>
    </row>
    <row r="359" spans="2:2" x14ac:dyDescent="0.25">
      <c r="B359" s="54" t="s">
        <v>481</v>
      </c>
    </row>
    <row r="360" spans="2:2" x14ac:dyDescent="0.25">
      <c r="B360" s="54" t="s">
        <v>482</v>
      </c>
    </row>
    <row r="361" spans="2:2" x14ac:dyDescent="0.25">
      <c r="B361" s="54" t="s">
        <v>483</v>
      </c>
    </row>
    <row r="362" spans="2:2" x14ac:dyDescent="0.25">
      <c r="B362" s="54" t="s">
        <v>484</v>
      </c>
    </row>
    <row r="363" spans="2:2" x14ac:dyDescent="0.25">
      <c r="B363" s="54" t="s">
        <v>485</v>
      </c>
    </row>
    <row r="364" spans="2:2" x14ac:dyDescent="0.25">
      <c r="B364" s="54" t="s">
        <v>486</v>
      </c>
    </row>
    <row r="365" spans="2:2" x14ac:dyDescent="0.25">
      <c r="B365" s="54" t="s">
        <v>487</v>
      </c>
    </row>
    <row r="366" spans="2:2" x14ac:dyDescent="0.25">
      <c r="B366" s="54" t="s">
        <v>488</v>
      </c>
    </row>
    <row r="367" spans="2:2" x14ac:dyDescent="0.25">
      <c r="B367" s="54" t="s">
        <v>489</v>
      </c>
    </row>
    <row r="368" spans="2:2" x14ac:dyDescent="0.25">
      <c r="B368" s="54" t="s">
        <v>490</v>
      </c>
    </row>
    <row r="369" spans="2:2" x14ac:dyDescent="0.25">
      <c r="B369" s="54" t="s">
        <v>491</v>
      </c>
    </row>
    <row r="370" spans="2:2" x14ac:dyDescent="0.25">
      <c r="B370" s="54" t="s">
        <v>492</v>
      </c>
    </row>
    <row r="371" spans="2:2" x14ac:dyDescent="0.25">
      <c r="B371" s="54" t="s">
        <v>493</v>
      </c>
    </row>
    <row r="372" spans="2:2" x14ac:dyDescent="0.25">
      <c r="B372" s="54" t="s">
        <v>494</v>
      </c>
    </row>
    <row r="373" spans="2:2" x14ac:dyDescent="0.25">
      <c r="B373" s="54" t="s">
        <v>495</v>
      </c>
    </row>
    <row r="374" spans="2:2" x14ac:dyDescent="0.25">
      <c r="B374" s="54" t="s">
        <v>496</v>
      </c>
    </row>
    <row r="375" spans="2:2" x14ac:dyDescent="0.25">
      <c r="B375" s="54" t="s">
        <v>497</v>
      </c>
    </row>
    <row r="376" spans="2:2" x14ac:dyDescent="0.25">
      <c r="B376" s="54" t="s">
        <v>498</v>
      </c>
    </row>
    <row r="377" spans="2:2" x14ac:dyDescent="0.25">
      <c r="B377" s="54" t="s">
        <v>499</v>
      </c>
    </row>
    <row r="378" spans="2:2" x14ac:dyDescent="0.25">
      <c r="B378" s="54" t="s">
        <v>500</v>
      </c>
    </row>
    <row r="379" spans="2:2" x14ac:dyDescent="0.25">
      <c r="B379" s="54" t="s">
        <v>501</v>
      </c>
    </row>
    <row r="380" spans="2:2" x14ac:dyDescent="0.25">
      <c r="B380" s="54" t="s">
        <v>502</v>
      </c>
    </row>
    <row r="381" spans="2:2" x14ac:dyDescent="0.25">
      <c r="B381" s="54" t="s">
        <v>503</v>
      </c>
    </row>
    <row r="382" spans="2:2" x14ac:dyDescent="0.25">
      <c r="B382" s="54" t="s">
        <v>504</v>
      </c>
    </row>
    <row r="383" spans="2:2" x14ac:dyDescent="0.25">
      <c r="B383" s="54" t="s">
        <v>505</v>
      </c>
    </row>
    <row r="384" spans="2:2" x14ac:dyDescent="0.25">
      <c r="B384" s="54" t="s">
        <v>506</v>
      </c>
    </row>
    <row r="385" spans="2:2" x14ac:dyDescent="0.25">
      <c r="B385" s="54" t="s">
        <v>507</v>
      </c>
    </row>
    <row r="386" spans="2:2" x14ac:dyDescent="0.25">
      <c r="B386" s="54" t="s">
        <v>508</v>
      </c>
    </row>
    <row r="387" spans="2:2" x14ac:dyDescent="0.25">
      <c r="B387" s="54" t="s">
        <v>509</v>
      </c>
    </row>
    <row r="388" spans="2:2" x14ac:dyDescent="0.25">
      <c r="B388" s="54" t="s">
        <v>510</v>
      </c>
    </row>
    <row r="389" spans="2:2" x14ac:dyDescent="0.25">
      <c r="B389" s="54" t="s">
        <v>511</v>
      </c>
    </row>
    <row r="390" spans="2:2" x14ac:dyDescent="0.25">
      <c r="B390" s="54" t="s">
        <v>512</v>
      </c>
    </row>
    <row r="391" spans="2:2" x14ac:dyDescent="0.25">
      <c r="B391" s="54" t="s">
        <v>513</v>
      </c>
    </row>
    <row r="392" spans="2:2" x14ac:dyDescent="0.25">
      <c r="B392" s="54" t="s">
        <v>514</v>
      </c>
    </row>
    <row r="393" spans="2:2" x14ac:dyDescent="0.25">
      <c r="B393" s="54" t="s">
        <v>515</v>
      </c>
    </row>
    <row r="394" spans="2:2" x14ac:dyDescent="0.25">
      <c r="B394" s="54" t="s">
        <v>516</v>
      </c>
    </row>
    <row r="395" spans="2:2" x14ac:dyDescent="0.25">
      <c r="B395" s="54" t="s">
        <v>517</v>
      </c>
    </row>
    <row r="396" spans="2:2" x14ac:dyDescent="0.25">
      <c r="B396" s="54" t="s">
        <v>518</v>
      </c>
    </row>
    <row r="397" spans="2:2" x14ac:dyDescent="0.25">
      <c r="B397" s="54" t="s">
        <v>519</v>
      </c>
    </row>
    <row r="398" spans="2:2" x14ac:dyDescent="0.25">
      <c r="B398" s="54" t="s">
        <v>520</v>
      </c>
    </row>
    <row r="399" spans="2:2" x14ac:dyDescent="0.25">
      <c r="B399" s="54" t="s">
        <v>521</v>
      </c>
    </row>
    <row r="400" spans="2:2" x14ac:dyDescent="0.25">
      <c r="B400" s="54" t="s">
        <v>522</v>
      </c>
    </row>
    <row r="401" spans="2:2" x14ac:dyDescent="0.25">
      <c r="B401" s="54" t="s">
        <v>523</v>
      </c>
    </row>
    <row r="402" spans="2:2" x14ac:dyDescent="0.25">
      <c r="B402" s="54" t="s">
        <v>524</v>
      </c>
    </row>
    <row r="403" spans="2:2" x14ac:dyDescent="0.25">
      <c r="B403" s="54" t="s">
        <v>525</v>
      </c>
    </row>
    <row r="404" spans="2:2" x14ac:dyDescent="0.25">
      <c r="B404" s="54" t="s">
        <v>526</v>
      </c>
    </row>
    <row r="405" spans="2:2" x14ac:dyDescent="0.25">
      <c r="B405" s="54" t="s">
        <v>527</v>
      </c>
    </row>
    <row r="406" spans="2:2" x14ac:dyDescent="0.25">
      <c r="B406" s="54" t="s">
        <v>528</v>
      </c>
    </row>
    <row r="407" spans="2:2" x14ac:dyDescent="0.25">
      <c r="B407" s="54" t="s">
        <v>529</v>
      </c>
    </row>
    <row r="408" spans="2:2" x14ac:dyDescent="0.25">
      <c r="B408" s="54" t="s">
        <v>530</v>
      </c>
    </row>
    <row r="409" spans="2:2" x14ac:dyDescent="0.25">
      <c r="B409" s="54" t="s">
        <v>531</v>
      </c>
    </row>
    <row r="410" spans="2:2" x14ac:dyDescent="0.25">
      <c r="B410" s="54" t="s">
        <v>532</v>
      </c>
    </row>
    <row r="411" spans="2:2" x14ac:dyDescent="0.25">
      <c r="B411" s="54" t="s">
        <v>533</v>
      </c>
    </row>
    <row r="412" spans="2:2" x14ac:dyDescent="0.25">
      <c r="B412" s="54" t="s">
        <v>534</v>
      </c>
    </row>
    <row r="413" spans="2:2" x14ac:dyDescent="0.25">
      <c r="B413" s="54" t="s">
        <v>535</v>
      </c>
    </row>
    <row r="414" spans="2:2" x14ac:dyDescent="0.25">
      <c r="B414" s="54" t="s">
        <v>536</v>
      </c>
    </row>
    <row r="415" spans="2:2" x14ac:dyDescent="0.25">
      <c r="B415" s="54" t="s">
        <v>537</v>
      </c>
    </row>
    <row r="416" spans="2:2" x14ac:dyDescent="0.25">
      <c r="B416" s="54" t="s">
        <v>538</v>
      </c>
    </row>
    <row r="417" spans="2:2" x14ac:dyDescent="0.25">
      <c r="B417" s="54" t="s">
        <v>539</v>
      </c>
    </row>
    <row r="418" spans="2:2" x14ac:dyDescent="0.25">
      <c r="B418" s="54" t="s">
        <v>540</v>
      </c>
    </row>
    <row r="419" spans="2:2" x14ac:dyDescent="0.25">
      <c r="B419" s="54" t="s">
        <v>541</v>
      </c>
    </row>
    <row r="420" spans="2:2" x14ac:dyDescent="0.25">
      <c r="B420" s="54" t="s">
        <v>542</v>
      </c>
    </row>
    <row r="421" spans="2:2" x14ac:dyDescent="0.25">
      <c r="B421" s="54" t="s">
        <v>543</v>
      </c>
    </row>
    <row r="422" spans="2:2" x14ac:dyDescent="0.25">
      <c r="B422" s="54" t="s">
        <v>544</v>
      </c>
    </row>
    <row r="423" spans="2:2" x14ac:dyDescent="0.25">
      <c r="B423" s="54" t="s">
        <v>545</v>
      </c>
    </row>
    <row r="424" spans="2:2" x14ac:dyDescent="0.25">
      <c r="B424" s="54" t="s">
        <v>546</v>
      </c>
    </row>
    <row r="425" spans="2:2" x14ac:dyDescent="0.25">
      <c r="B425" s="54" t="s">
        <v>547</v>
      </c>
    </row>
    <row r="426" spans="2:2" x14ac:dyDescent="0.25">
      <c r="B426" s="54" t="s">
        <v>548</v>
      </c>
    </row>
    <row r="427" spans="2:2" x14ac:dyDescent="0.25">
      <c r="B427" s="54" t="s">
        <v>549</v>
      </c>
    </row>
    <row r="428" spans="2:2" x14ac:dyDescent="0.25">
      <c r="B428" s="54" t="s">
        <v>550</v>
      </c>
    </row>
    <row r="429" spans="2:2" x14ac:dyDescent="0.25">
      <c r="B429" s="54" t="s">
        <v>551</v>
      </c>
    </row>
    <row r="430" spans="2:2" x14ac:dyDescent="0.25">
      <c r="B430" s="54" t="s">
        <v>552</v>
      </c>
    </row>
    <row r="431" spans="2:2" x14ac:dyDescent="0.25">
      <c r="B431" s="54" t="s">
        <v>553</v>
      </c>
    </row>
    <row r="432" spans="2:2" x14ac:dyDescent="0.25">
      <c r="B432" s="54" t="s">
        <v>554</v>
      </c>
    </row>
    <row r="433" spans="2:2" x14ac:dyDescent="0.25">
      <c r="B433" s="54" t="s">
        <v>555</v>
      </c>
    </row>
    <row r="434" spans="2:2" x14ac:dyDescent="0.25">
      <c r="B434" s="54" t="s">
        <v>556</v>
      </c>
    </row>
    <row r="435" spans="2:2" x14ac:dyDescent="0.25">
      <c r="B435" s="54" t="s">
        <v>557</v>
      </c>
    </row>
    <row r="436" spans="2:2" x14ac:dyDescent="0.25">
      <c r="B436" s="54" t="s">
        <v>558</v>
      </c>
    </row>
    <row r="437" spans="2:2" x14ac:dyDescent="0.25">
      <c r="B437" s="54" t="s">
        <v>559</v>
      </c>
    </row>
    <row r="438" spans="2:2" x14ac:dyDescent="0.25">
      <c r="B438" s="54" t="s">
        <v>560</v>
      </c>
    </row>
    <row r="439" spans="2:2" x14ac:dyDescent="0.25">
      <c r="B439" s="54" t="s">
        <v>561</v>
      </c>
    </row>
    <row r="440" spans="2:2" x14ac:dyDescent="0.25">
      <c r="B440" s="54" t="s">
        <v>562</v>
      </c>
    </row>
    <row r="441" spans="2:2" x14ac:dyDescent="0.25">
      <c r="B441" s="54" t="s">
        <v>563</v>
      </c>
    </row>
    <row r="442" spans="2:2" x14ac:dyDescent="0.25">
      <c r="B442" s="54" t="s">
        <v>564</v>
      </c>
    </row>
    <row r="443" spans="2:2" x14ac:dyDescent="0.25">
      <c r="B443" s="54" t="s">
        <v>565</v>
      </c>
    </row>
    <row r="444" spans="2:2" x14ac:dyDescent="0.25">
      <c r="B444" s="54" t="s">
        <v>566</v>
      </c>
    </row>
    <row r="445" spans="2:2" x14ac:dyDescent="0.25">
      <c r="B445" s="54" t="s">
        <v>567</v>
      </c>
    </row>
    <row r="446" spans="2:2" x14ac:dyDescent="0.25">
      <c r="B446" s="54" t="s">
        <v>568</v>
      </c>
    </row>
    <row r="447" spans="2:2" x14ac:dyDescent="0.25">
      <c r="B447" s="54" t="s">
        <v>569</v>
      </c>
    </row>
    <row r="448" spans="2:2" x14ac:dyDescent="0.25">
      <c r="B448" s="54" t="s">
        <v>570</v>
      </c>
    </row>
    <row r="449" spans="2:2" x14ac:dyDescent="0.25">
      <c r="B449" s="54" t="s">
        <v>571</v>
      </c>
    </row>
    <row r="450" spans="2:2" x14ac:dyDescent="0.25">
      <c r="B450" s="54" t="s">
        <v>572</v>
      </c>
    </row>
    <row r="451" spans="2:2" x14ac:dyDescent="0.25">
      <c r="B451" s="54" t="s">
        <v>573</v>
      </c>
    </row>
    <row r="452" spans="2:2" x14ac:dyDescent="0.25">
      <c r="B452" s="54" t="s">
        <v>574</v>
      </c>
    </row>
    <row r="453" spans="2:2" x14ac:dyDescent="0.25">
      <c r="B453" s="54" t="s">
        <v>575</v>
      </c>
    </row>
    <row r="454" spans="2:2" x14ac:dyDescent="0.25">
      <c r="B454" s="54" t="s">
        <v>576</v>
      </c>
    </row>
    <row r="455" spans="2:2" x14ac:dyDescent="0.25">
      <c r="B455" s="54" t="s">
        <v>577</v>
      </c>
    </row>
    <row r="456" spans="2:2" x14ac:dyDescent="0.25">
      <c r="B456" s="54" t="s">
        <v>578</v>
      </c>
    </row>
    <row r="457" spans="2:2" x14ac:dyDescent="0.25">
      <c r="B457" s="54" t="s">
        <v>579</v>
      </c>
    </row>
    <row r="458" spans="2:2" x14ac:dyDescent="0.25">
      <c r="B458" s="54" t="s">
        <v>580</v>
      </c>
    </row>
    <row r="459" spans="2:2" x14ac:dyDescent="0.25">
      <c r="B459" s="54" t="s">
        <v>581</v>
      </c>
    </row>
    <row r="460" spans="2:2" x14ac:dyDescent="0.25">
      <c r="B460" s="54" t="s">
        <v>582</v>
      </c>
    </row>
    <row r="461" spans="2:2" x14ac:dyDescent="0.25">
      <c r="B461" s="54" t="s">
        <v>583</v>
      </c>
    </row>
    <row r="462" spans="2:2" x14ac:dyDescent="0.25">
      <c r="B462" s="54" t="s">
        <v>584</v>
      </c>
    </row>
    <row r="463" spans="2:2" x14ac:dyDescent="0.25">
      <c r="B463" s="54" t="s">
        <v>585</v>
      </c>
    </row>
    <row r="464" spans="2:2" x14ac:dyDescent="0.25">
      <c r="B464" s="54" t="s">
        <v>586</v>
      </c>
    </row>
    <row r="465" spans="2:2" x14ac:dyDescent="0.25">
      <c r="B465" s="54" t="s">
        <v>587</v>
      </c>
    </row>
    <row r="466" spans="2:2" x14ac:dyDescent="0.25">
      <c r="B466" s="54" t="s">
        <v>588</v>
      </c>
    </row>
    <row r="467" spans="2:2" x14ac:dyDescent="0.25">
      <c r="B467" s="54" t="s">
        <v>589</v>
      </c>
    </row>
    <row r="468" spans="2:2" x14ac:dyDescent="0.25">
      <c r="B468" s="54" t="s">
        <v>590</v>
      </c>
    </row>
    <row r="469" spans="2:2" x14ac:dyDescent="0.25">
      <c r="B469" s="54" t="s">
        <v>591</v>
      </c>
    </row>
    <row r="470" spans="2:2" x14ac:dyDescent="0.25">
      <c r="B470" s="54" t="s">
        <v>592</v>
      </c>
    </row>
    <row r="471" spans="2:2" x14ac:dyDescent="0.25">
      <c r="B471" s="54" t="s">
        <v>593</v>
      </c>
    </row>
    <row r="472" spans="2:2" x14ac:dyDescent="0.25">
      <c r="B472" s="54" t="s">
        <v>594</v>
      </c>
    </row>
    <row r="473" spans="2:2" x14ac:dyDescent="0.25">
      <c r="B473" s="54" t="s">
        <v>595</v>
      </c>
    </row>
    <row r="474" spans="2:2" x14ac:dyDescent="0.25">
      <c r="B474" s="54" t="s">
        <v>596</v>
      </c>
    </row>
    <row r="475" spans="2:2" x14ac:dyDescent="0.25">
      <c r="B475" s="54" t="s">
        <v>597</v>
      </c>
    </row>
    <row r="476" spans="2:2" x14ac:dyDescent="0.25">
      <c r="B476" s="54" t="s">
        <v>598</v>
      </c>
    </row>
    <row r="477" spans="2:2" x14ac:dyDescent="0.25">
      <c r="B477" s="54" t="s">
        <v>599</v>
      </c>
    </row>
    <row r="478" spans="2:2" x14ac:dyDescent="0.25">
      <c r="B478" s="54" t="s">
        <v>600</v>
      </c>
    </row>
    <row r="479" spans="2:2" x14ac:dyDescent="0.25">
      <c r="B479" s="54" t="s">
        <v>601</v>
      </c>
    </row>
    <row r="480" spans="2:2" x14ac:dyDescent="0.25">
      <c r="B480" s="54" t="s">
        <v>602</v>
      </c>
    </row>
    <row r="481" spans="2:2" x14ac:dyDescent="0.25">
      <c r="B481" s="54" t="s">
        <v>603</v>
      </c>
    </row>
    <row r="482" spans="2:2" x14ac:dyDescent="0.25">
      <c r="B482" s="54" t="s">
        <v>604</v>
      </c>
    </row>
    <row r="483" spans="2:2" x14ac:dyDescent="0.25">
      <c r="B483" s="54" t="s">
        <v>605</v>
      </c>
    </row>
    <row r="484" spans="2:2" x14ac:dyDescent="0.25">
      <c r="B484" s="54" t="s">
        <v>606</v>
      </c>
    </row>
    <row r="485" spans="2:2" x14ac:dyDescent="0.25">
      <c r="B485" s="54" t="s">
        <v>607</v>
      </c>
    </row>
    <row r="486" spans="2:2" x14ac:dyDescent="0.25">
      <c r="B486" s="54" t="s">
        <v>608</v>
      </c>
    </row>
    <row r="487" spans="2:2" x14ac:dyDescent="0.25">
      <c r="B487" s="54" t="s">
        <v>609</v>
      </c>
    </row>
    <row r="488" spans="2:2" x14ac:dyDescent="0.25">
      <c r="B488" s="54" t="s">
        <v>610</v>
      </c>
    </row>
    <row r="489" spans="2:2" x14ac:dyDescent="0.25">
      <c r="B489" s="54" t="s">
        <v>611</v>
      </c>
    </row>
    <row r="490" spans="2:2" x14ac:dyDescent="0.25">
      <c r="B490" s="54" t="s">
        <v>612</v>
      </c>
    </row>
    <row r="491" spans="2:2" x14ac:dyDescent="0.25">
      <c r="B491" s="54" t="s">
        <v>613</v>
      </c>
    </row>
    <row r="492" spans="2:2" x14ac:dyDescent="0.25">
      <c r="B492" s="54" t="s">
        <v>614</v>
      </c>
    </row>
    <row r="493" spans="2:2" x14ac:dyDescent="0.25">
      <c r="B493" s="54" t="s">
        <v>615</v>
      </c>
    </row>
    <row r="494" spans="2:2" x14ac:dyDescent="0.25">
      <c r="B494" s="54" t="s">
        <v>616</v>
      </c>
    </row>
    <row r="495" spans="2:2" x14ac:dyDescent="0.25">
      <c r="B495" s="54" t="s">
        <v>617</v>
      </c>
    </row>
    <row r="496" spans="2:2" x14ac:dyDescent="0.25">
      <c r="B496" s="54" t="s">
        <v>618</v>
      </c>
    </row>
    <row r="497" spans="2:2" x14ac:dyDescent="0.25">
      <c r="B497" s="54" t="s">
        <v>619</v>
      </c>
    </row>
    <row r="498" spans="2:2" x14ac:dyDescent="0.25">
      <c r="B498" s="54" t="s">
        <v>620</v>
      </c>
    </row>
    <row r="499" spans="2:2" x14ac:dyDescent="0.25">
      <c r="B499" s="54" t="s">
        <v>621</v>
      </c>
    </row>
    <row r="500" spans="2:2" x14ac:dyDescent="0.25">
      <c r="B500" s="54" t="s">
        <v>622</v>
      </c>
    </row>
    <row r="501" spans="2:2" x14ac:dyDescent="0.25">
      <c r="B501" s="54" t="s">
        <v>623</v>
      </c>
    </row>
    <row r="502" spans="2:2" x14ac:dyDescent="0.25">
      <c r="B502" s="54" t="s">
        <v>624</v>
      </c>
    </row>
    <row r="503" spans="2:2" x14ac:dyDescent="0.25">
      <c r="B503" s="54" t="s">
        <v>625</v>
      </c>
    </row>
    <row r="504" spans="2:2" x14ac:dyDescent="0.25">
      <c r="B504" s="54" t="s">
        <v>626</v>
      </c>
    </row>
    <row r="505" spans="2:2" x14ac:dyDescent="0.25">
      <c r="B505" s="54" t="s">
        <v>627</v>
      </c>
    </row>
    <row r="506" spans="2:2" x14ac:dyDescent="0.25">
      <c r="B506" s="54" t="s">
        <v>628</v>
      </c>
    </row>
    <row r="507" spans="2:2" x14ac:dyDescent="0.25">
      <c r="B507" s="54" t="s">
        <v>629</v>
      </c>
    </row>
    <row r="508" spans="2:2" x14ac:dyDescent="0.25">
      <c r="B508" s="54" t="s">
        <v>630</v>
      </c>
    </row>
    <row r="509" spans="2:2" x14ac:dyDescent="0.25">
      <c r="B509" s="54" t="s">
        <v>631</v>
      </c>
    </row>
    <row r="510" spans="2:2" x14ac:dyDescent="0.25">
      <c r="B510" s="54" t="s">
        <v>632</v>
      </c>
    </row>
    <row r="511" spans="2:2" x14ac:dyDescent="0.25">
      <c r="B511" s="54" t="s">
        <v>633</v>
      </c>
    </row>
    <row r="512" spans="2:2" x14ac:dyDescent="0.25">
      <c r="B512" s="54" t="s">
        <v>634</v>
      </c>
    </row>
    <row r="513" spans="2:2" x14ac:dyDescent="0.25">
      <c r="B513" s="54" t="s">
        <v>635</v>
      </c>
    </row>
    <row r="514" spans="2:2" x14ac:dyDescent="0.25">
      <c r="B514" s="54" t="s">
        <v>636</v>
      </c>
    </row>
    <row r="515" spans="2:2" x14ac:dyDescent="0.25">
      <c r="B515" s="54" t="s">
        <v>637</v>
      </c>
    </row>
    <row r="516" spans="2:2" x14ac:dyDescent="0.25">
      <c r="B516" s="54" t="s">
        <v>638</v>
      </c>
    </row>
    <row r="517" spans="2:2" x14ac:dyDescent="0.25">
      <c r="B517" s="54" t="s">
        <v>639</v>
      </c>
    </row>
    <row r="518" spans="2:2" x14ac:dyDescent="0.25">
      <c r="B518" s="54" t="s">
        <v>640</v>
      </c>
    </row>
    <row r="519" spans="2:2" x14ac:dyDescent="0.25">
      <c r="B519" s="54" t="s">
        <v>641</v>
      </c>
    </row>
    <row r="520" spans="2:2" x14ac:dyDescent="0.25">
      <c r="B520" s="54" t="s">
        <v>642</v>
      </c>
    </row>
    <row r="521" spans="2:2" x14ac:dyDescent="0.25">
      <c r="B521" s="54" t="s">
        <v>643</v>
      </c>
    </row>
    <row r="522" spans="2:2" x14ac:dyDescent="0.25">
      <c r="B522" s="54" t="s">
        <v>644</v>
      </c>
    </row>
    <row r="523" spans="2:2" x14ac:dyDescent="0.25">
      <c r="B523" s="54" t="s">
        <v>645</v>
      </c>
    </row>
    <row r="524" spans="2:2" x14ac:dyDescent="0.25">
      <c r="B524" s="54" t="s">
        <v>646</v>
      </c>
    </row>
    <row r="525" spans="2:2" x14ac:dyDescent="0.25">
      <c r="B525" s="54" t="s">
        <v>647</v>
      </c>
    </row>
    <row r="526" spans="2:2" x14ac:dyDescent="0.25">
      <c r="B526" s="54" t="s">
        <v>648</v>
      </c>
    </row>
    <row r="527" spans="2:2" x14ac:dyDescent="0.25">
      <c r="B527" s="54" t="s">
        <v>649</v>
      </c>
    </row>
    <row r="528" spans="2:2" x14ac:dyDescent="0.25">
      <c r="B528" s="54" t="s">
        <v>650</v>
      </c>
    </row>
    <row r="529" spans="2:2" x14ac:dyDescent="0.25">
      <c r="B529" s="54" t="s">
        <v>651</v>
      </c>
    </row>
    <row r="530" spans="2:2" x14ac:dyDescent="0.25">
      <c r="B530" s="54" t="s">
        <v>652</v>
      </c>
    </row>
    <row r="531" spans="2:2" x14ac:dyDescent="0.25">
      <c r="B531" s="54" t="s">
        <v>653</v>
      </c>
    </row>
    <row r="532" spans="2:2" x14ac:dyDescent="0.25">
      <c r="B532" s="54" t="s">
        <v>654</v>
      </c>
    </row>
    <row r="533" spans="2:2" x14ac:dyDescent="0.25">
      <c r="B533" s="54" t="s">
        <v>655</v>
      </c>
    </row>
    <row r="534" spans="2:2" x14ac:dyDescent="0.25">
      <c r="B534" s="54" t="s">
        <v>656</v>
      </c>
    </row>
    <row r="535" spans="2:2" x14ac:dyDescent="0.25">
      <c r="B535" s="54" t="s">
        <v>657</v>
      </c>
    </row>
    <row r="536" spans="2:2" x14ac:dyDescent="0.25">
      <c r="B536" s="54" t="s">
        <v>658</v>
      </c>
    </row>
    <row r="537" spans="2:2" x14ac:dyDescent="0.25">
      <c r="B537" s="54" t="s">
        <v>659</v>
      </c>
    </row>
    <row r="538" spans="2:2" x14ac:dyDescent="0.25">
      <c r="B538" s="54" t="s">
        <v>660</v>
      </c>
    </row>
    <row r="539" spans="2:2" x14ac:dyDescent="0.25">
      <c r="B539" s="54" t="s">
        <v>661</v>
      </c>
    </row>
    <row r="540" spans="2:2" x14ac:dyDescent="0.25">
      <c r="B540" s="54" t="s">
        <v>662</v>
      </c>
    </row>
    <row r="541" spans="2:2" x14ac:dyDescent="0.25">
      <c r="B541" s="54" t="s">
        <v>663</v>
      </c>
    </row>
    <row r="542" spans="2:2" x14ac:dyDescent="0.25">
      <c r="B542" s="54" t="s">
        <v>664</v>
      </c>
    </row>
    <row r="543" spans="2:2" x14ac:dyDescent="0.25">
      <c r="B543" s="54" t="s">
        <v>665</v>
      </c>
    </row>
    <row r="544" spans="2:2" x14ac:dyDescent="0.25">
      <c r="B544" s="54" t="s">
        <v>666</v>
      </c>
    </row>
    <row r="545" spans="2:2" x14ac:dyDescent="0.25">
      <c r="B545" s="54" t="s">
        <v>667</v>
      </c>
    </row>
    <row r="546" spans="2:2" x14ac:dyDescent="0.25">
      <c r="B546" s="54" t="s">
        <v>668</v>
      </c>
    </row>
    <row r="547" spans="2:2" x14ac:dyDescent="0.25">
      <c r="B547" s="54" t="s">
        <v>669</v>
      </c>
    </row>
    <row r="548" spans="2:2" x14ac:dyDescent="0.25">
      <c r="B548" s="54" t="s">
        <v>670</v>
      </c>
    </row>
    <row r="549" spans="2:2" x14ac:dyDescent="0.25">
      <c r="B549" s="54" t="s">
        <v>671</v>
      </c>
    </row>
    <row r="550" spans="2:2" x14ac:dyDescent="0.25">
      <c r="B550" s="54" t="s">
        <v>672</v>
      </c>
    </row>
    <row r="551" spans="2:2" x14ac:dyDescent="0.25">
      <c r="B551" s="54" t="s">
        <v>673</v>
      </c>
    </row>
    <row r="552" spans="2:2" x14ac:dyDescent="0.25">
      <c r="B552" s="54" t="s">
        <v>674</v>
      </c>
    </row>
    <row r="553" spans="2:2" x14ac:dyDescent="0.25">
      <c r="B553" s="54" t="s">
        <v>675</v>
      </c>
    </row>
    <row r="554" spans="2:2" x14ac:dyDescent="0.25">
      <c r="B554" s="54" t="s">
        <v>676</v>
      </c>
    </row>
    <row r="555" spans="2:2" x14ac:dyDescent="0.25">
      <c r="B555" s="54" t="s">
        <v>677</v>
      </c>
    </row>
    <row r="556" spans="2:2" x14ac:dyDescent="0.25">
      <c r="B556" s="54" t="s">
        <v>678</v>
      </c>
    </row>
    <row r="557" spans="2:2" x14ac:dyDescent="0.25">
      <c r="B557" s="54" t="s">
        <v>679</v>
      </c>
    </row>
    <row r="558" spans="2:2" x14ac:dyDescent="0.25">
      <c r="B558" s="54" t="s">
        <v>680</v>
      </c>
    </row>
    <row r="559" spans="2:2" x14ac:dyDescent="0.25">
      <c r="B559" s="54" t="s">
        <v>120</v>
      </c>
    </row>
    <row r="560" spans="2:2" x14ac:dyDescent="0.25">
      <c r="B560" s="54" t="s">
        <v>681</v>
      </c>
    </row>
    <row r="561" spans="2:2" x14ac:dyDescent="0.25">
      <c r="B561" s="54" t="s">
        <v>682</v>
      </c>
    </row>
    <row r="562" spans="2:2" x14ac:dyDescent="0.25">
      <c r="B562" s="54" t="s">
        <v>683</v>
      </c>
    </row>
    <row r="563" spans="2:2" x14ac:dyDescent="0.25">
      <c r="B563" s="54" t="s">
        <v>684</v>
      </c>
    </row>
    <row r="564" spans="2:2" x14ac:dyDescent="0.25">
      <c r="B564" s="54" t="s">
        <v>685</v>
      </c>
    </row>
    <row r="565" spans="2:2" x14ac:dyDescent="0.25">
      <c r="B565" s="54" t="s">
        <v>686</v>
      </c>
    </row>
    <row r="566" spans="2:2" x14ac:dyDescent="0.25">
      <c r="B566" s="54" t="s">
        <v>687</v>
      </c>
    </row>
    <row r="567" spans="2:2" x14ac:dyDescent="0.25">
      <c r="B567" s="54" t="s">
        <v>688</v>
      </c>
    </row>
    <row r="568" spans="2:2" x14ac:dyDescent="0.25">
      <c r="B568" s="54" t="s">
        <v>689</v>
      </c>
    </row>
    <row r="569" spans="2:2" x14ac:dyDescent="0.25">
      <c r="B569" s="54" t="s">
        <v>690</v>
      </c>
    </row>
    <row r="570" spans="2:2" x14ac:dyDescent="0.25">
      <c r="B570" s="54" t="s">
        <v>691</v>
      </c>
    </row>
    <row r="571" spans="2:2" x14ac:dyDescent="0.25">
      <c r="B571" s="54" t="s">
        <v>692</v>
      </c>
    </row>
    <row r="572" spans="2:2" x14ac:dyDescent="0.25">
      <c r="B572" s="54" t="s">
        <v>693</v>
      </c>
    </row>
    <row r="573" spans="2:2" x14ac:dyDescent="0.25">
      <c r="B573" s="54" t="s">
        <v>694</v>
      </c>
    </row>
    <row r="574" spans="2:2" x14ac:dyDescent="0.25">
      <c r="B574" s="54" t="s">
        <v>695</v>
      </c>
    </row>
    <row r="575" spans="2:2" x14ac:dyDescent="0.25">
      <c r="B575" s="54" t="s">
        <v>696</v>
      </c>
    </row>
    <row r="576" spans="2:2" x14ac:dyDescent="0.25">
      <c r="B576" s="54" t="s">
        <v>697</v>
      </c>
    </row>
    <row r="577" spans="2:2" x14ac:dyDescent="0.25">
      <c r="B577" s="54" t="s">
        <v>698</v>
      </c>
    </row>
    <row r="578" spans="2:2" x14ac:dyDescent="0.25">
      <c r="B578" s="54" t="s">
        <v>699</v>
      </c>
    </row>
    <row r="579" spans="2:2" x14ac:dyDescent="0.25">
      <c r="B579" s="54" t="s">
        <v>700</v>
      </c>
    </row>
    <row r="580" spans="2:2" x14ac:dyDescent="0.25">
      <c r="B580" s="54" t="s">
        <v>701</v>
      </c>
    </row>
    <row r="581" spans="2:2" x14ac:dyDescent="0.25">
      <c r="B581" s="54" t="s">
        <v>702</v>
      </c>
    </row>
    <row r="582" spans="2:2" x14ac:dyDescent="0.25">
      <c r="B582" s="54" t="s">
        <v>703</v>
      </c>
    </row>
    <row r="583" spans="2:2" x14ac:dyDescent="0.25">
      <c r="B583" s="54" t="s">
        <v>704</v>
      </c>
    </row>
    <row r="584" spans="2:2" x14ac:dyDescent="0.25">
      <c r="B584" s="54" t="s">
        <v>705</v>
      </c>
    </row>
    <row r="585" spans="2:2" x14ac:dyDescent="0.25">
      <c r="B585" s="54" t="s">
        <v>706</v>
      </c>
    </row>
    <row r="586" spans="2:2" x14ac:dyDescent="0.25">
      <c r="B586" s="54" t="s">
        <v>707</v>
      </c>
    </row>
    <row r="587" spans="2:2" x14ac:dyDescent="0.25">
      <c r="B587" s="54" t="s">
        <v>708</v>
      </c>
    </row>
    <row r="588" spans="2:2" x14ac:dyDescent="0.25">
      <c r="B588" s="54" t="s">
        <v>709</v>
      </c>
    </row>
    <row r="589" spans="2:2" x14ac:dyDescent="0.25">
      <c r="B589" s="54" t="s">
        <v>710</v>
      </c>
    </row>
    <row r="590" spans="2:2" x14ac:dyDescent="0.25">
      <c r="B590" s="54" t="s">
        <v>711</v>
      </c>
    </row>
    <row r="591" spans="2:2" x14ac:dyDescent="0.25">
      <c r="B591" s="54" t="s">
        <v>712</v>
      </c>
    </row>
    <row r="592" spans="2:2" x14ac:dyDescent="0.25">
      <c r="B592" s="54" t="s">
        <v>713</v>
      </c>
    </row>
    <row r="593" spans="2:2" x14ac:dyDescent="0.25">
      <c r="B593" s="54" t="s">
        <v>714</v>
      </c>
    </row>
    <row r="594" spans="2:2" x14ac:dyDescent="0.25">
      <c r="B594" s="54" t="s">
        <v>715</v>
      </c>
    </row>
    <row r="595" spans="2:2" x14ac:dyDescent="0.25">
      <c r="B595" s="54" t="s">
        <v>716</v>
      </c>
    </row>
    <row r="596" spans="2:2" x14ac:dyDescent="0.25">
      <c r="B596" s="54" t="s">
        <v>717</v>
      </c>
    </row>
    <row r="597" spans="2:2" x14ac:dyDescent="0.25">
      <c r="B597" s="54" t="s">
        <v>718</v>
      </c>
    </row>
    <row r="598" spans="2:2" x14ac:dyDescent="0.25">
      <c r="B598" s="54" t="s">
        <v>719</v>
      </c>
    </row>
    <row r="599" spans="2:2" x14ac:dyDescent="0.25">
      <c r="B599" s="54" t="s">
        <v>720</v>
      </c>
    </row>
    <row r="600" spans="2:2" x14ac:dyDescent="0.25">
      <c r="B600" s="54" t="s">
        <v>721</v>
      </c>
    </row>
    <row r="601" spans="2:2" x14ac:dyDescent="0.25">
      <c r="B601" s="54" t="s">
        <v>722</v>
      </c>
    </row>
    <row r="602" spans="2:2" x14ac:dyDescent="0.25">
      <c r="B602" s="54" t="s">
        <v>723</v>
      </c>
    </row>
    <row r="603" spans="2:2" x14ac:dyDescent="0.25">
      <c r="B603" s="54" t="s">
        <v>724</v>
      </c>
    </row>
    <row r="604" spans="2:2" x14ac:dyDescent="0.25">
      <c r="B604" s="54" t="s">
        <v>725</v>
      </c>
    </row>
    <row r="605" spans="2:2" x14ac:dyDescent="0.25">
      <c r="B605" s="54" t="s">
        <v>726</v>
      </c>
    </row>
    <row r="606" spans="2:2" x14ac:dyDescent="0.25">
      <c r="B606" s="54" t="s">
        <v>727</v>
      </c>
    </row>
    <row r="607" spans="2:2" x14ac:dyDescent="0.25">
      <c r="B607" s="54" t="s">
        <v>728</v>
      </c>
    </row>
    <row r="608" spans="2:2" x14ac:dyDescent="0.25">
      <c r="B608" s="54" t="s">
        <v>729</v>
      </c>
    </row>
    <row r="609" spans="2:2" x14ac:dyDescent="0.25">
      <c r="B609" s="54" t="s">
        <v>730</v>
      </c>
    </row>
    <row r="610" spans="2:2" x14ac:dyDescent="0.25">
      <c r="B610" s="54" t="s">
        <v>731</v>
      </c>
    </row>
    <row r="611" spans="2:2" x14ac:dyDescent="0.25">
      <c r="B611" s="54" t="s">
        <v>732</v>
      </c>
    </row>
    <row r="612" spans="2:2" x14ac:dyDescent="0.25">
      <c r="B612" s="54" t="s">
        <v>733</v>
      </c>
    </row>
    <row r="613" spans="2:2" x14ac:dyDescent="0.25">
      <c r="B613" s="54" t="s">
        <v>734</v>
      </c>
    </row>
    <row r="614" spans="2:2" x14ac:dyDescent="0.25">
      <c r="B614" s="54" t="s">
        <v>735</v>
      </c>
    </row>
    <row r="615" spans="2:2" x14ac:dyDescent="0.25">
      <c r="B615" s="54" t="s">
        <v>736</v>
      </c>
    </row>
    <row r="616" spans="2:2" x14ac:dyDescent="0.25">
      <c r="B616" s="54" t="s">
        <v>737</v>
      </c>
    </row>
    <row r="617" spans="2:2" x14ac:dyDescent="0.25">
      <c r="B617" s="54" t="s">
        <v>738</v>
      </c>
    </row>
    <row r="618" spans="2:2" x14ac:dyDescent="0.25">
      <c r="B618" s="54" t="s">
        <v>739</v>
      </c>
    </row>
    <row r="619" spans="2:2" x14ac:dyDescent="0.25">
      <c r="B619" s="54" t="s">
        <v>740</v>
      </c>
    </row>
    <row r="620" spans="2:2" x14ac:dyDescent="0.25">
      <c r="B620" s="54" t="s">
        <v>741</v>
      </c>
    </row>
    <row r="621" spans="2:2" x14ac:dyDescent="0.25">
      <c r="B621" s="54" t="s">
        <v>742</v>
      </c>
    </row>
    <row r="622" spans="2:2" x14ac:dyDescent="0.25">
      <c r="B622" s="54" t="s">
        <v>743</v>
      </c>
    </row>
    <row r="623" spans="2:2" x14ac:dyDescent="0.25">
      <c r="B623" s="54" t="s">
        <v>744</v>
      </c>
    </row>
    <row r="624" spans="2:2" x14ac:dyDescent="0.25">
      <c r="B624" s="54" t="s">
        <v>745</v>
      </c>
    </row>
    <row r="625" spans="2:2" x14ac:dyDescent="0.25">
      <c r="B625" s="54" t="s">
        <v>746</v>
      </c>
    </row>
    <row r="626" spans="2:2" x14ac:dyDescent="0.25">
      <c r="B626" s="54" t="s">
        <v>747</v>
      </c>
    </row>
    <row r="627" spans="2:2" x14ac:dyDescent="0.25">
      <c r="B627" s="54" t="s">
        <v>748</v>
      </c>
    </row>
    <row r="628" spans="2:2" x14ac:dyDescent="0.25">
      <c r="B628" s="54" t="s">
        <v>749</v>
      </c>
    </row>
    <row r="629" spans="2:2" x14ac:dyDescent="0.25">
      <c r="B629" s="54" t="s">
        <v>750</v>
      </c>
    </row>
    <row r="630" spans="2:2" x14ac:dyDescent="0.25">
      <c r="B630" s="54" t="s">
        <v>751</v>
      </c>
    </row>
    <row r="631" spans="2:2" x14ac:dyDescent="0.25">
      <c r="B631" s="54" t="s">
        <v>752</v>
      </c>
    </row>
    <row r="632" spans="2:2" x14ac:dyDescent="0.25">
      <c r="B632" s="54" t="s">
        <v>753</v>
      </c>
    </row>
    <row r="633" spans="2:2" x14ac:dyDescent="0.25">
      <c r="B633" s="54" t="s">
        <v>754</v>
      </c>
    </row>
    <row r="634" spans="2:2" x14ac:dyDescent="0.25">
      <c r="B634" s="54" t="s">
        <v>755</v>
      </c>
    </row>
    <row r="635" spans="2:2" x14ac:dyDescent="0.25">
      <c r="B635" s="54" t="s">
        <v>756</v>
      </c>
    </row>
    <row r="636" spans="2:2" x14ac:dyDescent="0.25">
      <c r="B636" s="54" t="s">
        <v>757</v>
      </c>
    </row>
    <row r="637" spans="2:2" x14ac:dyDescent="0.25">
      <c r="B637" s="54" t="s">
        <v>758</v>
      </c>
    </row>
    <row r="638" spans="2:2" x14ac:dyDescent="0.25">
      <c r="B638" s="54" t="s">
        <v>759</v>
      </c>
    </row>
    <row r="639" spans="2:2" x14ac:dyDescent="0.25">
      <c r="B639" s="54" t="s">
        <v>760</v>
      </c>
    </row>
    <row r="640" spans="2:2" x14ac:dyDescent="0.25">
      <c r="B640" s="54" t="s">
        <v>761</v>
      </c>
    </row>
    <row r="641" spans="2:2" x14ac:dyDescent="0.25">
      <c r="B641" s="54" t="s">
        <v>762</v>
      </c>
    </row>
    <row r="642" spans="2:2" x14ac:dyDescent="0.25">
      <c r="B642" s="54" t="s">
        <v>763</v>
      </c>
    </row>
    <row r="643" spans="2:2" x14ac:dyDescent="0.25">
      <c r="B643" s="54" t="s">
        <v>764</v>
      </c>
    </row>
    <row r="644" spans="2:2" x14ac:dyDescent="0.25">
      <c r="B644" s="54" t="s">
        <v>765</v>
      </c>
    </row>
    <row r="645" spans="2:2" x14ac:dyDescent="0.25">
      <c r="B645" s="54" t="s">
        <v>766</v>
      </c>
    </row>
    <row r="646" spans="2:2" x14ac:dyDescent="0.25">
      <c r="B646" s="54" t="s">
        <v>767</v>
      </c>
    </row>
    <row r="647" spans="2:2" x14ac:dyDescent="0.25">
      <c r="B647" s="54" t="s">
        <v>768</v>
      </c>
    </row>
    <row r="648" spans="2:2" x14ac:dyDescent="0.25">
      <c r="B648" s="54" t="s">
        <v>769</v>
      </c>
    </row>
    <row r="649" spans="2:2" x14ac:dyDescent="0.25">
      <c r="B649" s="54" t="s">
        <v>770</v>
      </c>
    </row>
    <row r="650" spans="2:2" x14ac:dyDescent="0.25">
      <c r="B650" s="54" t="s">
        <v>771</v>
      </c>
    </row>
    <row r="651" spans="2:2" x14ac:dyDescent="0.25">
      <c r="B651" s="54" t="s">
        <v>772</v>
      </c>
    </row>
    <row r="652" spans="2:2" x14ac:dyDescent="0.25">
      <c r="B652" s="54" t="s">
        <v>773</v>
      </c>
    </row>
    <row r="653" spans="2:2" x14ac:dyDescent="0.25">
      <c r="B653" s="54" t="s">
        <v>774</v>
      </c>
    </row>
    <row r="654" spans="2:2" x14ac:dyDescent="0.25">
      <c r="B654" s="54" t="s">
        <v>775</v>
      </c>
    </row>
    <row r="655" spans="2:2" x14ac:dyDescent="0.25">
      <c r="B655" s="54" t="s">
        <v>776</v>
      </c>
    </row>
    <row r="656" spans="2:2" x14ac:dyDescent="0.25">
      <c r="B656" s="54" t="s">
        <v>777</v>
      </c>
    </row>
    <row r="657" spans="2:2" x14ac:dyDescent="0.25">
      <c r="B657" s="54" t="s">
        <v>778</v>
      </c>
    </row>
    <row r="658" spans="2:2" x14ac:dyDescent="0.25">
      <c r="B658" s="54" t="s">
        <v>779</v>
      </c>
    </row>
    <row r="659" spans="2:2" x14ac:dyDescent="0.25">
      <c r="B659" s="54" t="s">
        <v>780</v>
      </c>
    </row>
    <row r="660" spans="2:2" x14ac:dyDescent="0.25">
      <c r="B660" s="54" t="s">
        <v>781</v>
      </c>
    </row>
    <row r="661" spans="2:2" x14ac:dyDescent="0.25">
      <c r="B661" s="54" t="s">
        <v>782</v>
      </c>
    </row>
    <row r="662" spans="2:2" x14ac:dyDescent="0.25">
      <c r="B662" s="54" t="s">
        <v>783</v>
      </c>
    </row>
    <row r="663" spans="2:2" x14ac:dyDescent="0.25">
      <c r="B663" s="54" t="s">
        <v>784</v>
      </c>
    </row>
    <row r="664" spans="2:2" x14ac:dyDescent="0.25">
      <c r="B664" s="54" t="s">
        <v>785</v>
      </c>
    </row>
    <row r="665" spans="2:2" x14ac:dyDescent="0.25">
      <c r="B665" s="54" t="s">
        <v>786</v>
      </c>
    </row>
    <row r="666" spans="2:2" x14ac:dyDescent="0.25">
      <c r="B666" s="54" t="s">
        <v>787</v>
      </c>
    </row>
    <row r="667" spans="2:2" x14ac:dyDescent="0.25">
      <c r="B667" s="54" t="s">
        <v>788</v>
      </c>
    </row>
    <row r="668" spans="2:2" x14ac:dyDescent="0.25">
      <c r="B668" s="54" t="s">
        <v>789</v>
      </c>
    </row>
    <row r="669" spans="2:2" x14ac:dyDescent="0.25">
      <c r="B669" s="54" t="s">
        <v>790</v>
      </c>
    </row>
    <row r="670" spans="2:2" x14ac:dyDescent="0.25">
      <c r="B670" s="54" t="s">
        <v>791</v>
      </c>
    </row>
    <row r="671" spans="2:2" x14ac:dyDescent="0.25">
      <c r="B671" s="54" t="s">
        <v>792</v>
      </c>
    </row>
    <row r="672" spans="2:2" x14ac:dyDescent="0.25">
      <c r="B672" s="54" t="s">
        <v>793</v>
      </c>
    </row>
    <row r="673" spans="2:2" x14ac:dyDescent="0.25">
      <c r="B673" s="54" t="s">
        <v>794</v>
      </c>
    </row>
    <row r="674" spans="2:2" x14ac:dyDescent="0.25">
      <c r="B674" s="54" t="s">
        <v>795</v>
      </c>
    </row>
    <row r="675" spans="2:2" x14ac:dyDescent="0.25">
      <c r="B675" s="54" t="s">
        <v>796</v>
      </c>
    </row>
    <row r="676" spans="2:2" x14ac:dyDescent="0.25">
      <c r="B676" s="54" t="s">
        <v>797</v>
      </c>
    </row>
    <row r="677" spans="2:2" x14ac:dyDescent="0.25">
      <c r="B677" s="54" t="s">
        <v>798</v>
      </c>
    </row>
    <row r="678" spans="2:2" x14ac:dyDescent="0.25">
      <c r="B678" s="54" t="s">
        <v>799</v>
      </c>
    </row>
    <row r="679" spans="2:2" x14ac:dyDescent="0.25">
      <c r="B679" s="54" t="s">
        <v>800</v>
      </c>
    </row>
    <row r="680" spans="2:2" x14ac:dyDescent="0.25">
      <c r="B680" s="54" t="s">
        <v>801</v>
      </c>
    </row>
    <row r="681" spans="2:2" x14ac:dyDescent="0.25">
      <c r="B681" s="54" t="s">
        <v>802</v>
      </c>
    </row>
    <row r="682" spans="2:2" x14ac:dyDescent="0.25">
      <c r="B682" s="54" t="s">
        <v>803</v>
      </c>
    </row>
    <row r="683" spans="2:2" x14ac:dyDescent="0.25">
      <c r="B683" s="54" t="s">
        <v>804</v>
      </c>
    </row>
    <row r="684" spans="2:2" x14ac:dyDescent="0.25">
      <c r="B684" s="54" t="s">
        <v>805</v>
      </c>
    </row>
    <row r="685" spans="2:2" x14ac:dyDescent="0.25">
      <c r="B685" s="54" t="s">
        <v>806</v>
      </c>
    </row>
    <row r="686" spans="2:2" x14ac:dyDescent="0.25">
      <c r="B686" s="54" t="s">
        <v>807</v>
      </c>
    </row>
    <row r="687" spans="2:2" x14ac:dyDescent="0.25">
      <c r="B687" s="54" t="s">
        <v>808</v>
      </c>
    </row>
    <row r="688" spans="2:2" x14ac:dyDescent="0.25">
      <c r="B688" s="54" t="s">
        <v>809</v>
      </c>
    </row>
    <row r="689" spans="2:2" x14ac:dyDescent="0.25">
      <c r="B689" s="54" t="s">
        <v>810</v>
      </c>
    </row>
    <row r="690" spans="2:2" x14ac:dyDescent="0.25">
      <c r="B690" s="54" t="s">
        <v>811</v>
      </c>
    </row>
    <row r="691" spans="2:2" x14ac:dyDescent="0.25">
      <c r="B691" s="54" t="s">
        <v>812</v>
      </c>
    </row>
    <row r="692" spans="2:2" x14ac:dyDescent="0.25">
      <c r="B692" s="54" t="s">
        <v>813</v>
      </c>
    </row>
    <row r="693" spans="2:2" x14ac:dyDescent="0.25">
      <c r="B693" s="54" t="s">
        <v>814</v>
      </c>
    </row>
    <row r="694" spans="2:2" x14ac:dyDescent="0.25">
      <c r="B694" s="54" t="s">
        <v>815</v>
      </c>
    </row>
    <row r="695" spans="2:2" x14ac:dyDescent="0.25">
      <c r="B695" s="54" t="s">
        <v>816</v>
      </c>
    </row>
    <row r="696" spans="2:2" x14ac:dyDescent="0.25">
      <c r="B696" s="54" t="s">
        <v>121</v>
      </c>
    </row>
    <row r="697" spans="2:2" x14ac:dyDescent="0.25">
      <c r="B697" s="54" t="s">
        <v>817</v>
      </c>
    </row>
    <row r="698" spans="2:2" x14ac:dyDescent="0.25">
      <c r="B698" s="54" t="s">
        <v>818</v>
      </c>
    </row>
    <row r="699" spans="2:2" x14ac:dyDescent="0.25">
      <c r="B699" s="54" t="s">
        <v>819</v>
      </c>
    </row>
    <row r="700" spans="2:2" x14ac:dyDescent="0.25">
      <c r="B700" s="54" t="s">
        <v>820</v>
      </c>
    </row>
    <row r="701" spans="2:2" x14ac:dyDescent="0.25">
      <c r="B701" s="54" t="s">
        <v>821</v>
      </c>
    </row>
    <row r="702" spans="2:2" x14ac:dyDescent="0.25">
      <c r="B702" s="54" t="s">
        <v>822</v>
      </c>
    </row>
    <row r="703" spans="2:2" x14ac:dyDescent="0.25">
      <c r="B703" s="54" t="s">
        <v>823</v>
      </c>
    </row>
    <row r="704" spans="2:2" x14ac:dyDescent="0.25">
      <c r="B704" s="54" t="s">
        <v>824</v>
      </c>
    </row>
    <row r="705" spans="2:2" x14ac:dyDescent="0.25">
      <c r="B705" s="54" t="s">
        <v>825</v>
      </c>
    </row>
    <row r="706" spans="2:2" x14ac:dyDescent="0.25">
      <c r="B706" s="54" t="s">
        <v>826</v>
      </c>
    </row>
    <row r="707" spans="2:2" x14ac:dyDescent="0.25">
      <c r="B707" s="54" t="s">
        <v>827</v>
      </c>
    </row>
    <row r="708" spans="2:2" x14ac:dyDescent="0.25">
      <c r="B708" s="54" t="s">
        <v>828</v>
      </c>
    </row>
    <row r="709" spans="2:2" x14ac:dyDescent="0.25">
      <c r="B709" s="54" t="s">
        <v>829</v>
      </c>
    </row>
    <row r="710" spans="2:2" x14ac:dyDescent="0.25">
      <c r="B710" s="54" t="s">
        <v>830</v>
      </c>
    </row>
    <row r="711" spans="2:2" x14ac:dyDescent="0.25">
      <c r="B711" s="54" t="s">
        <v>831</v>
      </c>
    </row>
    <row r="712" spans="2:2" x14ac:dyDescent="0.25">
      <c r="B712" s="54" t="s">
        <v>832</v>
      </c>
    </row>
    <row r="713" spans="2:2" x14ac:dyDescent="0.25">
      <c r="B713" s="54" t="s">
        <v>833</v>
      </c>
    </row>
    <row r="714" spans="2:2" x14ac:dyDescent="0.25">
      <c r="B714" s="54" t="s">
        <v>834</v>
      </c>
    </row>
    <row r="715" spans="2:2" x14ac:dyDescent="0.25">
      <c r="B715" s="54" t="s">
        <v>835</v>
      </c>
    </row>
    <row r="716" spans="2:2" x14ac:dyDescent="0.25">
      <c r="B716" s="54" t="s">
        <v>836</v>
      </c>
    </row>
    <row r="717" spans="2:2" x14ac:dyDescent="0.25">
      <c r="B717" s="54" t="s">
        <v>837</v>
      </c>
    </row>
    <row r="718" spans="2:2" x14ac:dyDescent="0.25">
      <c r="B718" s="54" t="s">
        <v>838</v>
      </c>
    </row>
    <row r="719" spans="2:2" x14ac:dyDescent="0.25">
      <c r="B719" s="54" t="s">
        <v>839</v>
      </c>
    </row>
    <row r="720" spans="2:2" x14ac:dyDescent="0.25">
      <c r="B720" s="54" t="s">
        <v>840</v>
      </c>
    </row>
    <row r="721" spans="2:2" x14ac:dyDescent="0.25">
      <c r="B721" s="54" t="s">
        <v>841</v>
      </c>
    </row>
    <row r="722" spans="2:2" x14ac:dyDescent="0.25">
      <c r="B722" s="54" t="s">
        <v>842</v>
      </c>
    </row>
    <row r="723" spans="2:2" x14ac:dyDescent="0.25">
      <c r="B723" s="54" t="s">
        <v>843</v>
      </c>
    </row>
    <row r="724" spans="2:2" x14ac:dyDescent="0.25">
      <c r="B724" s="54" t="s">
        <v>844</v>
      </c>
    </row>
    <row r="725" spans="2:2" x14ac:dyDescent="0.25">
      <c r="B725" s="54" t="s">
        <v>845</v>
      </c>
    </row>
    <row r="726" spans="2:2" x14ac:dyDescent="0.25">
      <c r="B726" s="54" t="s">
        <v>846</v>
      </c>
    </row>
    <row r="727" spans="2:2" x14ac:dyDescent="0.25">
      <c r="B727" s="54" t="s">
        <v>847</v>
      </c>
    </row>
    <row r="728" spans="2:2" x14ac:dyDescent="0.25">
      <c r="B728" s="54" t="s">
        <v>848</v>
      </c>
    </row>
    <row r="729" spans="2:2" x14ac:dyDescent="0.25">
      <c r="B729" s="54" t="s">
        <v>849</v>
      </c>
    </row>
    <row r="730" spans="2:2" x14ac:dyDescent="0.25">
      <c r="B730" s="54" t="s">
        <v>850</v>
      </c>
    </row>
    <row r="731" spans="2:2" x14ac:dyDescent="0.25">
      <c r="B731" s="54" t="s">
        <v>851</v>
      </c>
    </row>
    <row r="732" spans="2:2" x14ac:dyDescent="0.25">
      <c r="B732" s="54" t="s">
        <v>852</v>
      </c>
    </row>
    <row r="733" spans="2:2" x14ac:dyDescent="0.25">
      <c r="B733" s="54" t="s">
        <v>853</v>
      </c>
    </row>
    <row r="734" spans="2:2" x14ac:dyDescent="0.25">
      <c r="B734" s="54" t="s">
        <v>854</v>
      </c>
    </row>
    <row r="735" spans="2:2" x14ac:dyDescent="0.25">
      <c r="B735" s="54" t="s">
        <v>855</v>
      </c>
    </row>
    <row r="736" spans="2:2" x14ac:dyDescent="0.25">
      <c r="B736" s="54" t="s">
        <v>856</v>
      </c>
    </row>
    <row r="737" spans="2:2" x14ac:dyDescent="0.25">
      <c r="B737" s="54" t="s">
        <v>857</v>
      </c>
    </row>
    <row r="738" spans="2:2" x14ac:dyDescent="0.25">
      <c r="B738" s="54" t="s">
        <v>858</v>
      </c>
    </row>
    <row r="739" spans="2:2" x14ac:dyDescent="0.25">
      <c r="B739" s="54" t="s">
        <v>859</v>
      </c>
    </row>
    <row r="740" spans="2:2" x14ac:dyDescent="0.25">
      <c r="B740" s="54" t="s">
        <v>860</v>
      </c>
    </row>
    <row r="741" spans="2:2" x14ac:dyDescent="0.25">
      <c r="B741" s="54" t="s">
        <v>861</v>
      </c>
    </row>
    <row r="742" spans="2:2" x14ac:dyDescent="0.25">
      <c r="B742" s="54" t="s">
        <v>862</v>
      </c>
    </row>
    <row r="743" spans="2:2" x14ac:dyDescent="0.25">
      <c r="B743" s="54" t="s">
        <v>863</v>
      </c>
    </row>
    <row r="744" spans="2:2" x14ac:dyDescent="0.25">
      <c r="B744" s="54" t="s">
        <v>864</v>
      </c>
    </row>
    <row r="745" spans="2:2" x14ac:dyDescent="0.25">
      <c r="B745" s="54" t="s">
        <v>865</v>
      </c>
    </row>
    <row r="746" spans="2:2" x14ac:dyDescent="0.25">
      <c r="B746" s="54" t="s">
        <v>866</v>
      </c>
    </row>
    <row r="747" spans="2:2" x14ac:dyDescent="0.25">
      <c r="B747" s="54" t="s">
        <v>867</v>
      </c>
    </row>
    <row r="748" spans="2:2" x14ac:dyDescent="0.25">
      <c r="B748" s="54" t="s">
        <v>868</v>
      </c>
    </row>
    <row r="749" spans="2:2" x14ac:dyDescent="0.25">
      <c r="B749" s="54" t="s">
        <v>869</v>
      </c>
    </row>
    <row r="750" spans="2:2" x14ac:dyDescent="0.25">
      <c r="B750" s="54" t="s">
        <v>870</v>
      </c>
    </row>
    <row r="751" spans="2:2" x14ac:dyDescent="0.25">
      <c r="B751" s="54" t="s">
        <v>871</v>
      </c>
    </row>
    <row r="752" spans="2:2" x14ac:dyDescent="0.25">
      <c r="B752" s="54" t="s">
        <v>872</v>
      </c>
    </row>
    <row r="753" spans="2:2" x14ac:dyDescent="0.25">
      <c r="B753" s="54" t="s">
        <v>873</v>
      </c>
    </row>
    <row r="754" spans="2:2" x14ac:dyDescent="0.25">
      <c r="B754" s="54" t="s">
        <v>874</v>
      </c>
    </row>
    <row r="755" spans="2:2" x14ac:dyDescent="0.25">
      <c r="B755" s="54" t="s">
        <v>875</v>
      </c>
    </row>
    <row r="756" spans="2:2" x14ac:dyDescent="0.25">
      <c r="B756" s="54" t="s">
        <v>876</v>
      </c>
    </row>
    <row r="757" spans="2:2" x14ac:dyDescent="0.25">
      <c r="B757" s="54" t="s">
        <v>877</v>
      </c>
    </row>
    <row r="758" spans="2:2" x14ac:dyDescent="0.25">
      <c r="B758" s="54" t="s">
        <v>878</v>
      </c>
    </row>
    <row r="759" spans="2:2" x14ac:dyDescent="0.25">
      <c r="B759" s="54" t="s">
        <v>879</v>
      </c>
    </row>
    <row r="760" spans="2:2" x14ac:dyDescent="0.25">
      <c r="B760" s="54" t="s">
        <v>880</v>
      </c>
    </row>
    <row r="761" spans="2:2" x14ac:dyDescent="0.25">
      <c r="B761" s="54" t="s">
        <v>881</v>
      </c>
    </row>
    <row r="762" spans="2:2" x14ac:dyDescent="0.25">
      <c r="B762" s="54" t="s">
        <v>882</v>
      </c>
    </row>
    <row r="763" spans="2:2" x14ac:dyDescent="0.25">
      <c r="B763" s="54" t="s">
        <v>883</v>
      </c>
    </row>
    <row r="764" spans="2:2" x14ac:dyDescent="0.25">
      <c r="B764" s="54" t="s">
        <v>884</v>
      </c>
    </row>
    <row r="765" spans="2:2" x14ac:dyDescent="0.25">
      <c r="B765" s="54" t="s">
        <v>885</v>
      </c>
    </row>
    <row r="766" spans="2:2" x14ac:dyDescent="0.25">
      <c r="B766" s="54" t="s">
        <v>886</v>
      </c>
    </row>
    <row r="767" spans="2:2" x14ac:dyDescent="0.25">
      <c r="B767" s="54" t="s">
        <v>887</v>
      </c>
    </row>
    <row r="768" spans="2:2" x14ac:dyDescent="0.25">
      <c r="B768" s="54" t="s">
        <v>888</v>
      </c>
    </row>
    <row r="769" spans="2:2" x14ac:dyDescent="0.25">
      <c r="B769" s="54" t="s">
        <v>889</v>
      </c>
    </row>
    <row r="770" spans="2:2" x14ac:dyDescent="0.25">
      <c r="B770" s="54" t="s">
        <v>890</v>
      </c>
    </row>
    <row r="771" spans="2:2" x14ac:dyDescent="0.25">
      <c r="B771" s="54" t="s">
        <v>891</v>
      </c>
    </row>
    <row r="772" spans="2:2" x14ac:dyDescent="0.25">
      <c r="B772" s="54" t="s">
        <v>892</v>
      </c>
    </row>
    <row r="773" spans="2:2" x14ac:dyDescent="0.25">
      <c r="B773" s="54" t="s">
        <v>893</v>
      </c>
    </row>
    <row r="774" spans="2:2" x14ac:dyDescent="0.25">
      <c r="B774" s="54" t="s">
        <v>894</v>
      </c>
    </row>
    <row r="775" spans="2:2" x14ac:dyDescent="0.25">
      <c r="B775" s="54" t="s">
        <v>895</v>
      </c>
    </row>
    <row r="776" spans="2:2" x14ac:dyDescent="0.25">
      <c r="B776" s="54" t="s">
        <v>896</v>
      </c>
    </row>
    <row r="777" spans="2:2" x14ac:dyDescent="0.25">
      <c r="B777" s="54" t="s">
        <v>897</v>
      </c>
    </row>
    <row r="778" spans="2:2" x14ac:dyDescent="0.25">
      <c r="B778" s="54" t="s">
        <v>898</v>
      </c>
    </row>
    <row r="779" spans="2:2" x14ac:dyDescent="0.25">
      <c r="B779" s="54" t="s">
        <v>899</v>
      </c>
    </row>
    <row r="780" spans="2:2" x14ac:dyDescent="0.25">
      <c r="B780" s="54" t="s">
        <v>900</v>
      </c>
    </row>
    <row r="781" spans="2:2" x14ac:dyDescent="0.25">
      <c r="B781" s="54" t="s">
        <v>901</v>
      </c>
    </row>
    <row r="782" spans="2:2" x14ac:dyDescent="0.25">
      <c r="B782" s="54" t="s">
        <v>902</v>
      </c>
    </row>
    <row r="783" spans="2:2" x14ac:dyDescent="0.25">
      <c r="B783" s="54" t="s">
        <v>903</v>
      </c>
    </row>
    <row r="784" spans="2:2" x14ac:dyDescent="0.25">
      <c r="B784" s="54" t="s">
        <v>904</v>
      </c>
    </row>
    <row r="785" spans="2:2" x14ac:dyDescent="0.25">
      <c r="B785" s="54" t="s">
        <v>905</v>
      </c>
    </row>
    <row r="786" spans="2:2" x14ac:dyDescent="0.25">
      <c r="B786" s="54" t="s">
        <v>906</v>
      </c>
    </row>
    <row r="787" spans="2:2" x14ac:dyDescent="0.25">
      <c r="B787" s="54" t="s">
        <v>907</v>
      </c>
    </row>
    <row r="788" spans="2:2" x14ac:dyDescent="0.25">
      <c r="B788" s="54" t="s">
        <v>908</v>
      </c>
    </row>
    <row r="789" spans="2:2" x14ac:dyDescent="0.25">
      <c r="B789" s="54" t="s">
        <v>909</v>
      </c>
    </row>
    <row r="790" spans="2:2" x14ac:dyDescent="0.25">
      <c r="B790" s="54" t="s">
        <v>910</v>
      </c>
    </row>
    <row r="791" spans="2:2" x14ac:dyDescent="0.25">
      <c r="B791" s="54" t="s">
        <v>911</v>
      </c>
    </row>
    <row r="792" spans="2:2" x14ac:dyDescent="0.25">
      <c r="B792" s="54" t="s">
        <v>912</v>
      </c>
    </row>
    <row r="793" spans="2:2" x14ac:dyDescent="0.25">
      <c r="B793" s="54" t="s">
        <v>913</v>
      </c>
    </row>
    <row r="794" spans="2:2" x14ac:dyDescent="0.25">
      <c r="B794" s="54" t="s">
        <v>914</v>
      </c>
    </row>
    <row r="795" spans="2:2" x14ac:dyDescent="0.25">
      <c r="B795" s="54" t="s">
        <v>915</v>
      </c>
    </row>
    <row r="796" spans="2:2" x14ac:dyDescent="0.25">
      <c r="B796" s="54" t="s">
        <v>916</v>
      </c>
    </row>
    <row r="797" spans="2:2" x14ac:dyDescent="0.25">
      <c r="B797" s="54" t="s">
        <v>917</v>
      </c>
    </row>
    <row r="798" spans="2:2" x14ac:dyDescent="0.25">
      <c r="B798" s="54" t="s">
        <v>918</v>
      </c>
    </row>
    <row r="799" spans="2:2" x14ac:dyDescent="0.25">
      <c r="B799" s="54" t="s">
        <v>919</v>
      </c>
    </row>
    <row r="800" spans="2:2" x14ac:dyDescent="0.25">
      <c r="B800" s="54" t="s">
        <v>920</v>
      </c>
    </row>
    <row r="801" spans="2:2" x14ac:dyDescent="0.25">
      <c r="B801" s="54" t="s">
        <v>921</v>
      </c>
    </row>
    <row r="802" spans="2:2" x14ac:dyDescent="0.25">
      <c r="B802" s="54" t="s">
        <v>922</v>
      </c>
    </row>
    <row r="803" spans="2:2" x14ac:dyDescent="0.25">
      <c r="B803" s="54" t="s">
        <v>923</v>
      </c>
    </row>
    <row r="804" spans="2:2" x14ac:dyDescent="0.25">
      <c r="B804" s="54" t="s">
        <v>924</v>
      </c>
    </row>
    <row r="805" spans="2:2" x14ac:dyDescent="0.25">
      <c r="B805" s="54" t="s">
        <v>925</v>
      </c>
    </row>
    <row r="806" spans="2:2" x14ac:dyDescent="0.25">
      <c r="B806" s="54" t="s">
        <v>926</v>
      </c>
    </row>
    <row r="807" spans="2:2" x14ac:dyDescent="0.25">
      <c r="B807" s="54" t="s">
        <v>927</v>
      </c>
    </row>
    <row r="808" spans="2:2" x14ac:dyDescent="0.25">
      <c r="B808" s="54" t="s">
        <v>928</v>
      </c>
    </row>
    <row r="809" spans="2:2" x14ac:dyDescent="0.25">
      <c r="B809" s="54" t="s">
        <v>929</v>
      </c>
    </row>
    <row r="810" spans="2:2" x14ac:dyDescent="0.25">
      <c r="B810" s="54" t="s">
        <v>930</v>
      </c>
    </row>
    <row r="811" spans="2:2" x14ac:dyDescent="0.25">
      <c r="B811" s="54" t="s">
        <v>931</v>
      </c>
    </row>
    <row r="812" spans="2:2" x14ac:dyDescent="0.25">
      <c r="B812" s="54" t="s">
        <v>932</v>
      </c>
    </row>
    <row r="813" spans="2:2" x14ac:dyDescent="0.25">
      <c r="B813" s="54" t="s">
        <v>933</v>
      </c>
    </row>
    <row r="814" spans="2:2" x14ac:dyDescent="0.25">
      <c r="B814" s="54" t="s">
        <v>934</v>
      </c>
    </row>
    <row r="815" spans="2:2" x14ac:dyDescent="0.25">
      <c r="B815" s="54" t="s">
        <v>935</v>
      </c>
    </row>
    <row r="816" spans="2:2" x14ac:dyDescent="0.25">
      <c r="B816" s="54" t="s">
        <v>936</v>
      </c>
    </row>
    <row r="817" spans="2:2" x14ac:dyDescent="0.25">
      <c r="B817" s="54" t="s">
        <v>937</v>
      </c>
    </row>
    <row r="818" spans="2:2" x14ac:dyDescent="0.25">
      <c r="B818" s="54" t="s">
        <v>938</v>
      </c>
    </row>
    <row r="819" spans="2:2" x14ac:dyDescent="0.25">
      <c r="B819" s="54" t="s">
        <v>939</v>
      </c>
    </row>
    <row r="820" spans="2:2" x14ac:dyDescent="0.25">
      <c r="B820" s="54" t="s">
        <v>940</v>
      </c>
    </row>
    <row r="821" spans="2:2" x14ac:dyDescent="0.25">
      <c r="B821" s="54" t="s">
        <v>941</v>
      </c>
    </row>
    <row r="822" spans="2:2" x14ac:dyDescent="0.25">
      <c r="B822" s="54" t="s">
        <v>942</v>
      </c>
    </row>
    <row r="823" spans="2:2" x14ac:dyDescent="0.25">
      <c r="B823" s="54" t="s">
        <v>943</v>
      </c>
    </row>
    <row r="824" spans="2:2" x14ac:dyDescent="0.25">
      <c r="B824" s="54" t="s">
        <v>944</v>
      </c>
    </row>
    <row r="825" spans="2:2" x14ac:dyDescent="0.25">
      <c r="B825" s="54" t="s">
        <v>945</v>
      </c>
    </row>
    <row r="826" spans="2:2" x14ac:dyDescent="0.25">
      <c r="B826" s="54" t="s">
        <v>946</v>
      </c>
    </row>
    <row r="827" spans="2:2" x14ac:dyDescent="0.25">
      <c r="B827" s="54" t="s">
        <v>947</v>
      </c>
    </row>
    <row r="828" spans="2:2" x14ac:dyDescent="0.25">
      <c r="B828" s="54" t="s">
        <v>948</v>
      </c>
    </row>
    <row r="829" spans="2:2" x14ac:dyDescent="0.25">
      <c r="B829" s="54" t="s">
        <v>949</v>
      </c>
    </row>
    <row r="830" spans="2:2" x14ac:dyDescent="0.25">
      <c r="B830" s="54" t="s">
        <v>950</v>
      </c>
    </row>
    <row r="831" spans="2:2" x14ac:dyDescent="0.25">
      <c r="B831" s="54" t="s">
        <v>951</v>
      </c>
    </row>
    <row r="832" spans="2:2" x14ac:dyDescent="0.25">
      <c r="B832" s="54" t="s">
        <v>952</v>
      </c>
    </row>
    <row r="833" spans="2:2" x14ac:dyDescent="0.25">
      <c r="B833" s="54" t="s">
        <v>953</v>
      </c>
    </row>
    <row r="834" spans="2:2" x14ac:dyDescent="0.25">
      <c r="B834" s="54" t="s">
        <v>954</v>
      </c>
    </row>
    <row r="835" spans="2:2" x14ac:dyDescent="0.25">
      <c r="B835" s="54" t="s">
        <v>955</v>
      </c>
    </row>
    <row r="836" spans="2:2" x14ac:dyDescent="0.25">
      <c r="B836" s="54" t="s">
        <v>956</v>
      </c>
    </row>
    <row r="837" spans="2:2" x14ac:dyDescent="0.25">
      <c r="B837" s="54" t="s">
        <v>957</v>
      </c>
    </row>
    <row r="838" spans="2:2" x14ac:dyDescent="0.25">
      <c r="B838" s="54" t="s">
        <v>958</v>
      </c>
    </row>
    <row r="839" spans="2:2" x14ac:dyDescent="0.25">
      <c r="B839" s="54" t="s">
        <v>959</v>
      </c>
    </row>
    <row r="840" spans="2:2" x14ac:dyDescent="0.25">
      <c r="B840" s="54" t="s">
        <v>960</v>
      </c>
    </row>
    <row r="841" spans="2:2" x14ac:dyDescent="0.25">
      <c r="B841" s="54" t="s">
        <v>961</v>
      </c>
    </row>
    <row r="842" spans="2:2" x14ac:dyDescent="0.25">
      <c r="B842" s="54" t="s">
        <v>962</v>
      </c>
    </row>
    <row r="843" spans="2:2" x14ac:dyDescent="0.25">
      <c r="B843" s="54" t="s">
        <v>963</v>
      </c>
    </row>
    <row r="844" spans="2:2" x14ac:dyDescent="0.25">
      <c r="B844" s="54" t="s">
        <v>964</v>
      </c>
    </row>
    <row r="845" spans="2:2" x14ac:dyDescent="0.25">
      <c r="B845" s="54" t="s">
        <v>965</v>
      </c>
    </row>
    <row r="846" spans="2:2" x14ac:dyDescent="0.25">
      <c r="B846" s="54" t="s">
        <v>966</v>
      </c>
    </row>
    <row r="847" spans="2:2" x14ac:dyDescent="0.25">
      <c r="B847" s="54" t="s">
        <v>967</v>
      </c>
    </row>
    <row r="848" spans="2:2" x14ac:dyDescent="0.25">
      <c r="B848" s="54" t="s">
        <v>968</v>
      </c>
    </row>
    <row r="849" spans="2:2" x14ac:dyDescent="0.25">
      <c r="B849" s="54" t="s">
        <v>969</v>
      </c>
    </row>
    <row r="850" spans="2:2" x14ac:dyDescent="0.25">
      <c r="B850" s="54" t="s">
        <v>970</v>
      </c>
    </row>
    <row r="851" spans="2:2" x14ac:dyDescent="0.25">
      <c r="B851" s="54" t="s">
        <v>971</v>
      </c>
    </row>
    <row r="852" spans="2:2" x14ac:dyDescent="0.25">
      <c r="B852" s="54" t="s">
        <v>972</v>
      </c>
    </row>
    <row r="853" spans="2:2" x14ac:dyDescent="0.25">
      <c r="B853" s="54" t="s">
        <v>973</v>
      </c>
    </row>
    <row r="854" spans="2:2" x14ac:dyDescent="0.25">
      <c r="B854" s="54" t="s">
        <v>974</v>
      </c>
    </row>
    <row r="855" spans="2:2" x14ac:dyDescent="0.25">
      <c r="B855" s="54" t="s">
        <v>975</v>
      </c>
    </row>
    <row r="856" spans="2:2" x14ac:dyDescent="0.25">
      <c r="B856" s="54" t="s">
        <v>976</v>
      </c>
    </row>
    <row r="857" spans="2:2" x14ac:dyDescent="0.25">
      <c r="B857" s="54" t="s">
        <v>977</v>
      </c>
    </row>
    <row r="858" spans="2:2" x14ac:dyDescent="0.25">
      <c r="B858" s="54" t="s">
        <v>978</v>
      </c>
    </row>
    <row r="859" spans="2:2" x14ac:dyDescent="0.25">
      <c r="B859" s="54" t="s">
        <v>979</v>
      </c>
    </row>
    <row r="860" spans="2:2" x14ac:dyDescent="0.25">
      <c r="B860" s="54" t="s">
        <v>980</v>
      </c>
    </row>
    <row r="861" spans="2:2" x14ac:dyDescent="0.25">
      <c r="B861" s="54" t="s">
        <v>981</v>
      </c>
    </row>
    <row r="862" spans="2:2" x14ac:dyDescent="0.25">
      <c r="B862" s="54" t="s">
        <v>982</v>
      </c>
    </row>
    <row r="863" spans="2:2" x14ac:dyDescent="0.25">
      <c r="B863" s="54" t="s">
        <v>983</v>
      </c>
    </row>
    <row r="864" spans="2:2" x14ac:dyDescent="0.25">
      <c r="B864" s="54" t="s">
        <v>984</v>
      </c>
    </row>
    <row r="865" spans="2:2" x14ac:dyDescent="0.25">
      <c r="B865" s="54" t="s">
        <v>985</v>
      </c>
    </row>
    <row r="866" spans="2:2" x14ac:dyDescent="0.25">
      <c r="B866" s="54" t="s">
        <v>986</v>
      </c>
    </row>
    <row r="867" spans="2:2" x14ac:dyDescent="0.25">
      <c r="B867" s="54" t="s">
        <v>987</v>
      </c>
    </row>
    <row r="868" spans="2:2" x14ac:dyDescent="0.25">
      <c r="B868" s="54" t="s">
        <v>988</v>
      </c>
    </row>
    <row r="869" spans="2:2" x14ac:dyDescent="0.25">
      <c r="B869" s="54" t="s">
        <v>989</v>
      </c>
    </row>
    <row r="870" spans="2:2" x14ac:dyDescent="0.25">
      <c r="B870" s="54" t="s">
        <v>990</v>
      </c>
    </row>
    <row r="871" spans="2:2" x14ac:dyDescent="0.25">
      <c r="B871" s="54" t="s">
        <v>991</v>
      </c>
    </row>
    <row r="872" spans="2:2" x14ac:dyDescent="0.25">
      <c r="B872" s="54" t="s">
        <v>992</v>
      </c>
    </row>
    <row r="873" spans="2:2" x14ac:dyDescent="0.25">
      <c r="B873" s="54" t="s">
        <v>993</v>
      </c>
    </row>
    <row r="874" spans="2:2" x14ac:dyDescent="0.25">
      <c r="B874" s="54" t="s">
        <v>994</v>
      </c>
    </row>
    <row r="875" spans="2:2" x14ac:dyDescent="0.25">
      <c r="B875" s="54" t="s">
        <v>995</v>
      </c>
    </row>
    <row r="876" spans="2:2" x14ac:dyDescent="0.25">
      <c r="B876" s="54" t="s">
        <v>996</v>
      </c>
    </row>
    <row r="877" spans="2:2" x14ac:dyDescent="0.25">
      <c r="B877" s="54" t="s">
        <v>997</v>
      </c>
    </row>
    <row r="878" spans="2:2" x14ac:dyDescent="0.25">
      <c r="B878" s="54" t="s">
        <v>998</v>
      </c>
    </row>
    <row r="879" spans="2:2" x14ac:dyDescent="0.25">
      <c r="B879" s="54" t="s">
        <v>999</v>
      </c>
    </row>
    <row r="880" spans="2:2" x14ac:dyDescent="0.25">
      <c r="B880" s="54" t="s">
        <v>1000</v>
      </c>
    </row>
    <row r="881" spans="2:2" x14ac:dyDescent="0.25">
      <c r="B881" s="54" t="s">
        <v>1001</v>
      </c>
    </row>
    <row r="882" spans="2:2" x14ac:dyDescent="0.25">
      <c r="B882" s="54" t="s">
        <v>1002</v>
      </c>
    </row>
    <row r="883" spans="2:2" x14ac:dyDescent="0.25">
      <c r="B883" s="54" t="s">
        <v>1003</v>
      </c>
    </row>
    <row r="884" spans="2:2" x14ac:dyDescent="0.25">
      <c r="B884" s="54" t="s">
        <v>1004</v>
      </c>
    </row>
    <row r="885" spans="2:2" x14ac:dyDescent="0.25">
      <c r="B885" s="54" t="s">
        <v>1005</v>
      </c>
    </row>
    <row r="886" spans="2:2" x14ac:dyDescent="0.25">
      <c r="B886" s="54" t="s">
        <v>1006</v>
      </c>
    </row>
    <row r="887" spans="2:2" x14ac:dyDescent="0.25">
      <c r="B887" s="54" t="s">
        <v>1007</v>
      </c>
    </row>
    <row r="888" spans="2:2" x14ac:dyDescent="0.25">
      <c r="B888" s="54" t="s">
        <v>1008</v>
      </c>
    </row>
    <row r="889" spans="2:2" x14ac:dyDescent="0.25">
      <c r="B889" s="54" t="s">
        <v>1009</v>
      </c>
    </row>
    <row r="890" spans="2:2" x14ac:dyDescent="0.25">
      <c r="B890" s="54" t="s">
        <v>1010</v>
      </c>
    </row>
    <row r="891" spans="2:2" x14ac:dyDescent="0.25">
      <c r="B891" s="54" t="s">
        <v>1011</v>
      </c>
    </row>
    <row r="892" spans="2:2" x14ac:dyDescent="0.25">
      <c r="B892" s="54" t="s">
        <v>1012</v>
      </c>
    </row>
    <row r="893" spans="2:2" x14ac:dyDescent="0.25">
      <c r="B893" s="54" t="s">
        <v>1013</v>
      </c>
    </row>
    <row r="894" spans="2:2" x14ac:dyDescent="0.25">
      <c r="B894" s="54" t="s">
        <v>1014</v>
      </c>
    </row>
    <row r="895" spans="2:2" x14ac:dyDescent="0.25">
      <c r="B895" s="54" t="s">
        <v>1015</v>
      </c>
    </row>
    <row r="896" spans="2:2" x14ac:dyDescent="0.25">
      <c r="B896" s="54" t="s">
        <v>1016</v>
      </c>
    </row>
    <row r="897" spans="2:2" x14ac:dyDescent="0.25">
      <c r="B897" s="54" t="s">
        <v>1017</v>
      </c>
    </row>
    <row r="898" spans="2:2" x14ac:dyDescent="0.25">
      <c r="B898" s="54" t="s">
        <v>1018</v>
      </c>
    </row>
    <row r="899" spans="2:2" x14ac:dyDescent="0.25">
      <c r="B899" s="54" t="s">
        <v>1019</v>
      </c>
    </row>
    <row r="900" spans="2:2" x14ac:dyDescent="0.25">
      <c r="B900" s="54" t="s">
        <v>1020</v>
      </c>
    </row>
    <row r="901" spans="2:2" x14ac:dyDescent="0.25">
      <c r="B901" s="54" t="s">
        <v>1021</v>
      </c>
    </row>
    <row r="902" spans="2:2" x14ac:dyDescent="0.25">
      <c r="B902" s="54" t="s">
        <v>1022</v>
      </c>
    </row>
    <row r="903" spans="2:2" x14ac:dyDescent="0.25">
      <c r="B903" s="54" t="s">
        <v>1023</v>
      </c>
    </row>
    <row r="904" spans="2:2" x14ac:dyDescent="0.25">
      <c r="B904" s="54" t="s">
        <v>1024</v>
      </c>
    </row>
    <row r="905" spans="2:2" x14ac:dyDescent="0.25">
      <c r="B905" s="54" t="s">
        <v>1025</v>
      </c>
    </row>
    <row r="906" spans="2:2" x14ac:dyDescent="0.25">
      <c r="B906" s="54" t="s">
        <v>1026</v>
      </c>
    </row>
    <row r="907" spans="2:2" x14ac:dyDescent="0.25">
      <c r="B907" s="54" t="s">
        <v>1027</v>
      </c>
    </row>
    <row r="908" spans="2:2" x14ac:dyDescent="0.25">
      <c r="B908" s="54" t="s">
        <v>1028</v>
      </c>
    </row>
    <row r="909" spans="2:2" x14ac:dyDescent="0.25">
      <c r="B909" s="54" t="s">
        <v>1029</v>
      </c>
    </row>
    <row r="910" spans="2:2" x14ac:dyDescent="0.25">
      <c r="B910" s="54" t="s">
        <v>1030</v>
      </c>
    </row>
    <row r="911" spans="2:2" x14ac:dyDescent="0.25">
      <c r="B911" s="54" t="s">
        <v>1031</v>
      </c>
    </row>
    <row r="912" spans="2:2" x14ac:dyDescent="0.25">
      <c r="B912" s="54" t="s">
        <v>1032</v>
      </c>
    </row>
    <row r="913" spans="2:2" x14ac:dyDescent="0.25">
      <c r="B913" s="54" t="s">
        <v>1033</v>
      </c>
    </row>
    <row r="914" spans="2:2" x14ac:dyDescent="0.25">
      <c r="B914" s="54" t="s">
        <v>1034</v>
      </c>
    </row>
    <row r="915" spans="2:2" x14ac:dyDescent="0.25">
      <c r="B915" s="54" t="s">
        <v>1035</v>
      </c>
    </row>
    <row r="916" spans="2:2" x14ac:dyDescent="0.25">
      <c r="B916" s="54" t="s">
        <v>1036</v>
      </c>
    </row>
    <row r="917" spans="2:2" x14ac:dyDescent="0.25">
      <c r="B917" s="54" t="s">
        <v>1037</v>
      </c>
    </row>
    <row r="918" spans="2:2" x14ac:dyDescent="0.25">
      <c r="B918" s="54" t="s">
        <v>1038</v>
      </c>
    </row>
    <row r="919" spans="2:2" x14ac:dyDescent="0.25">
      <c r="B919" s="54" t="s">
        <v>1039</v>
      </c>
    </row>
    <row r="920" spans="2:2" x14ac:dyDescent="0.25">
      <c r="B920" s="54" t="s">
        <v>1040</v>
      </c>
    </row>
    <row r="921" spans="2:2" x14ac:dyDescent="0.25">
      <c r="B921" s="54" t="s">
        <v>1041</v>
      </c>
    </row>
    <row r="922" spans="2:2" x14ac:dyDescent="0.25">
      <c r="B922" s="54" t="s">
        <v>1042</v>
      </c>
    </row>
    <row r="923" spans="2:2" x14ac:dyDescent="0.25">
      <c r="B923" s="54" t="s">
        <v>1043</v>
      </c>
    </row>
    <row r="924" spans="2:2" x14ac:dyDescent="0.25">
      <c r="B924" s="54" t="s">
        <v>1044</v>
      </c>
    </row>
    <row r="925" spans="2:2" x14ac:dyDescent="0.25">
      <c r="B925" s="54" t="s">
        <v>1045</v>
      </c>
    </row>
    <row r="926" spans="2:2" x14ac:dyDescent="0.25">
      <c r="B926" s="54" t="s">
        <v>1046</v>
      </c>
    </row>
    <row r="927" spans="2:2" x14ac:dyDescent="0.25">
      <c r="B927" s="54" t="s">
        <v>1047</v>
      </c>
    </row>
    <row r="928" spans="2:2" x14ac:dyDescent="0.25">
      <c r="B928" s="54" t="s">
        <v>1048</v>
      </c>
    </row>
    <row r="929" spans="2:2" x14ac:dyDescent="0.25">
      <c r="B929" s="54" t="s">
        <v>1049</v>
      </c>
    </row>
    <row r="930" spans="2:2" x14ac:dyDescent="0.25">
      <c r="B930" s="54" t="s">
        <v>1050</v>
      </c>
    </row>
    <row r="931" spans="2:2" x14ac:dyDescent="0.25">
      <c r="B931" s="54" t="s">
        <v>1051</v>
      </c>
    </row>
    <row r="932" spans="2:2" x14ac:dyDescent="0.25">
      <c r="B932" s="54" t="s">
        <v>1052</v>
      </c>
    </row>
    <row r="933" spans="2:2" x14ac:dyDescent="0.25">
      <c r="B933" s="54" t="s">
        <v>1053</v>
      </c>
    </row>
    <row r="934" spans="2:2" x14ac:dyDescent="0.25">
      <c r="B934" s="54" t="s">
        <v>1054</v>
      </c>
    </row>
    <row r="935" spans="2:2" x14ac:dyDescent="0.25">
      <c r="B935" s="54" t="s">
        <v>1055</v>
      </c>
    </row>
    <row r="936" spans="2:2" x14ac:dyDescent="0.25">
      <c r="B936" s="54" t="s">
        <v>1056</v>
      </c>
    </row>
    <row r="937" spans="2:2" x14ac:dyDescent="0.25">
      <c r="B937" s="54" t="s">
        <v>1057</v>
      </c>
    </row>
    <row r="938" spans="2:2" x14ac:dyDescent="0.25">
      <c r="B938" s="54" t="s">
        <v>1058</v>
      </c>
    </row>
    <row r="939" spans="2:2" x14ac:dyDescent="0.25">
      <c r="B939" s="54" t="s">
        <v>1059</v>
      </c>
    </row>
    <row r="940" spans="2:2" x14ac:dyDescent="0.25">
      <c r="B940" s="54" t="s">
        <v>1060</v>
      </c>
    </row>
    <row r="941" spans="2:2" x14ac:dyDescent="0.25">
      <c r="B941" s="54" t="s">
        <v>1061</v>
      </c>
    </row>
    <row r="942" spans="2:2" x14ac:dyDescent="0.25">
      <c r="B942" s="54" t="s">
        <v>1062</v>
      </c>
    </row>
    <row r="943" spans="2:2" x14ac:dyDescent="0.25">
      <c r="B943" s="54" t="s">
        <v>1063</v>
      </c>
    </row>
    <row r="944" spans="2:2" x14ac:dyDescent="0.25">
      <c r="B944" s="54" t="s">
        <v>1064</v>
      </c>
    </row>
    <row r="945" spans="2:2" x14ac:dyDescent="0.25">
      <c r="B945" s="54" t="s">
        <v>1065</v>
      </c>
    </row>
    <row r="946" spans="2:2" x14ac:dyDescent="0.25">
      <c r="B946" s="54" t="s">
        <v>1066</v>
      </c>
    </row>
    <row r="947" spans="2:2" x14ac:dyDescent="0.25">
      <c r="B947" s="54" t="s">
        <v>1067</v>
      </c>
    </row>
    <row r="948" spans="2:2" x14ac:dyDescent="0.25">
      <c r="B948" s="54" t="s">
        <v>1068</v>
      </c>
    </row>
    <row r="949" spans="2:2" x14ac:dyDescent="0.25">
      <c r="B949" s="54" t="s">
        <v>1069</v>
      </c>
    </row>
    <row r="950" spans="2:2" x14ac:dyDescent="0.25">
      <c r="B950" s="54" t="s">
        <v>1070</v>
      </c>
    </row>
    <row r="951" spans="2:2" x14ac:dyDescent="0.25">
      <c r="B951" s="54" t="s">
        <v>1071</v>
      </c>
    </row>
    <row r="952" spans="2:2" x14ac:dyDescent="0.25">
      <c r="B952" s="54" t="s">
        <v>1072</v>
      </c>
    </row>
    <row r="953" spans="2:2" x14ac:dyDescent="0.25">
      <c r="B953" s="54" t="s">
        <v>1073</v>
      </c>
    </row>
    <row r="954" spans="2:2" x14ac:dyDescent="0.25">
      <c r="B954" s="54" t="s">
        <v>1074</v>
      </c>
    </row>
    <row r="955" spans="2:2" x14ac:dyDescent="0.25">
      <c r="B955" s="54" t="s">
        <v>1075</v>
      </c>
    </row>
    <row r="956" spans="2:2" x14ac:dyDescent="0.25">
      <c r="B956" s="54" t="s">
        <v>1076</v>
      </c>
    </row>
    <row r="957" spans="2:2" x14ac:dyDescent="0.25">
      <c r="B957" s="54" t="s">
        <v>1077</v>
      </c>
    </row>
    <row r="958" spans="2:2" x14ac:dyDescent="0.25">
      <c r="B958" s="54" t="s">
        <v>1078</v>
      </c>
    </row>
    <row r="959" spans="2:2" x14ac:dyDescent="0.25">
      <c r="B959" s="54" t="s">
        <v>1079</v>
      </c>
    </row>
    <row r="960" spans="2:2" x14ac:dyDescent="0.25">
      <c r="B960" s="54" t="s">
        <v>1080</v>
      </c>
    </row>
    <row r="961" spans="2:2" x14ac:dyDescent="0.25">
      <c r="B961" s="54" t="s">
        <v>1081</v>
      </c>
    </row>
    <row r="962" spans="2:2" x14ac:dyDescent="0.25">
      <c r="B962" s="54" t="s">
        <v>1082</v>
      </c>
    </row>
    <row r="963" spans="2:2" x14ac:dyDescent="0.25">
      <c r="B963" s="54" t="s">
        <v>1083</v>
      </c>
    </row>
    <row r="964" spans="2:2" x14ac:dyDescent="0.25">
      <c r="B964" s="54" t="s">
        <v>1084</v>
      </c>
    </row>
    <row r="965" spans="2:2" x14ac:dyDescent="0.25">
      <c r="B965" s="54" t="s">
        <v>1085</v>
      </c>
    </row>
    <row r="966" spans="2:2" x14ac:dyDescent="0.25">
      <c r="B966" s="54" t="s">
        <v>1086</v>
      </c>
    </row>
    <row r="967" spans="2:2" x14ac:dyDescent="0.25">
      <c r="B967" s="54" t="s">
        <v>1087</v>
      </c>
    </row>
    <row r="968" spans="2:2" x14ac:dyDescent="0.25">
      <c r="B968" s="54" t="s">
        <v>1088</v>
      </c>
    </row>
    <row r="969" spans="2:2" x14ac:dyDescent="0.25">
      <c r="B969" s="54" t="s">
        <v>1089</v>
      </c>
    </row>
    <row r="970" spans="2:2" x14ac:dyDescent="0.25">
      <c r="B970" s="54" t="s">
        <v>1090</v>
      </c>
    </row>
    <row r="971" spans="2:2" x14ac:dyDescent="0.25">
      <c r="B971" s="54" t="s">
        <v>1091</v>
      </c>
    </row>
    <row r="972" spans="2:2" x14ac:dyDescent="0.25">
      <c r="B972" s="54" t="s">
        <v>1092</v>
      </c>
    </row>
    <row r="973" spans="2:2" x14ac:dyDescent="0.25">
      <c r="B973" s="54" t="s">
        <v>1093</v>
      </c>
    </row>
    <row r="974" spans="2:2" x14ac:dyDescent="0.25">
      <c r="B974" s="54" t="s">
        <v>1094</v>
      </c>
    </row>
    <row r="975" spans="2:2" x14ac:dyDescent="0.25">
      <c r="B975" s="54" t="s">
        <v>1095</v>
      </c>
    </row>
    <row r="976" spans="2:2" x14ac:dyDescent="0.25">
      <c r="B976" s="54" t="s">
        <v>1096</v>
      </c>
    </row>
    <row r="977" spans="2:2" x14ac:dyDescent="0.25">
      <c r="B977" s="54" t="s">
        <v>1097</v>
      </c>
    </row>
    <row r="978" spans="2:2" x14ac:dyDescent="0.25">
      <c r="B978" s="54" t="s">
        <v>1098</v>
      </c>
    </row>
    <row r="979" spans="2:2" x14ac:dyDescent="0.25">
      <c r="B979" s="54" t="s">
        <v>1099</v>
      </c>
    </row>
    <row r="980" spans="2:2" x14ac:dyDescent="0.25">
      <c r="B980" s="54" t="s">
        <v>1100</v>
      </c>
    </row>
    <row r="981" spans="2:2" x14ac:dyDescent="0.25">
      <c r="B981" s="54" t="s">
        <v>1101</v>
      </c>
    </row>
    <row r="982" spans="2:2" x14ac:dyDescent="0.25">
      <c r="B982" s="54" t="s">
        <v>1102</v>
      </c>
    </row>
    <row r="983" spans="2:2" x14ac:dyDescent="0.25">
      <c r="B983" s="54" t="s">
        <v>1103</v>
      </c>
    </row>
    <row r="984" spans="2:2" x14ac:dyDescent="0.25">
      <c r="B984" s="54" t="s">
        <v>1104</v>
      </c>
    </row>
    <row r="985" spans="2:2" x14ac:dyDescent="0.25">
      <c r="B985" s="54" t="s">
        <v>1105</v>
      </c>
    </row>
    <row r="986" spans="2:2" x14ac:dyDescent="0.25">
      <c r="B986" s="54" t="s">
        <v>1106</v>
      </c>
    </row>
    <row r="987" spans="2:2" x14ac:dyDescent="0.25">
      <c r="B987" s="54" t="s">
        <v>1107</v>
      </c>
    </row>
    <row r="988" spans="2:2" x14ac:dyDescent="0.25">
      <c r="B988" s="54" t="s">
        <v>1108</v>
      </c>
    </row>
    <row r="989" spans="2:2" x14ac:dyDescent="0.25">
      <c r="B989" s="54" t="s">
        <v>1109</v>
      </c>
    </row>
    <row r="990" spans="2:2" x14ac:dyDescent="0.25">
      <c r="B990" s="54" t="s">
        <v>1110</v>
      </c>
    </row>
    <row r="991" spans="2:2" x14ac:dyDescent="0.25">
      <c r="B991" s="54" t="s">
        <v>1111</v>
      </c>
    </row>
    <row r="992" spans="2:2" x14ac:dyDescent="0.25">
      <c r="B992" s="54" t="s">
        <v>1112</v>
      </c>
    </row>
    <row r="993" spans="2:2" x14ac:dyDescent="0.25">
      <c r="B993" s="54" t="s">
        <v>1113</v>
      </c>
    </row>
    <row r="994" spans="2:2" x14ac:dyDescent="0.25">
      <c r="B994" s="54" t="s">
        <v>1114</v>
      </c>
    </row>
    <row r="995" spans="2:2" x14ac:dyDescent="0.25">
      <c r="B995" s="54" t="s">
        <v>1115</v>
      </c>
    </row>
    <row r="996" spans="2:2" x14ac:dyDescent="0.25">
      <c r="B996" s="54" t="s">
        <v>1116</v>
      </c>
    </row>
    <row r="997" spans="2:2" x14ac:dyDescent="0.25">
      <c r="B997" s="54" t="s">
        <v>1117</v>
      </c>
    </row>
    <row r="998" spans="2:2" x14ac:dyDescent="0.25">
      <c r="B998" s="54" t="s">
        <v>1118</v>
      </c>
    </row>
    <row r="999" spans="2:2" x14ac:dyDescent="0.25">
      <c r="B999" s="54" t="s">
        <v>1119</v>
      </c>
    </row>
    <row r="1000" spans="2:2" x14ac:dyDescent="0.25">
      <c r="B1000" s="54" t="s">
        <v>1120</v>
      </c>
    </row>
    <row r="1001" spans="2:2" x14ac:dyDescent="0.25">
      <c r="B1001" s="54" t="s">
        <v>1121</v>
      </c>
    </row>
    <row r="1002" spans="2:2" x14ac:dyDescent="0.25">
      <c r="B1002" s="54" t="s">
        <v>1122</v>
      </c>
    </row>
    <row r="1003" spans="2:2" x14ac:dyDescent="0.25">
      <c r="B1003" s="54" t="s">
        <v>1123</v>
      </c>
    </row>
    <row r="1004" spans="2:2" x14ac:dyDescent="0.25">
      <c r="B1004" s="54" t="s">
        <v>1124</v>
      </c>
    </row>
    <row r="1005" spans="2:2" x14ac:dyDescent="0.25">
      <c r="B1005" s="54" t="s">
        <v>1125</v>
      </c>
    </row>
    <row r="1006" spans="2:2" x14ac:dyDescent="0.25">
      <c r="B1006" s="54" t="s">
        <v>1126</v>
      </c>
    </row>
    <row r="1007" spans="2:2" x14ac:dyDescent="0.25">
      <c r="B1007" s="54" t="s">
        <v>1127</v>
      </c>
    </row>
    <row r="1008" spans="2:2" x14ac:dyDescent="0.25">
      <c r="B1008" s="54" t="s">
        <v>1128</v>
      </c>
    </row>
    <row r="1009" spans="2:2" x14ac:dyDescent="0.25">
      <c r="B1009" s="54" t="s">
        <v>1129</v>
      </c>
    </row>
    <row r="1010" spans="2:2" x14ac:dyDescent="0.25">
      <c r="B1010" s="54" t="s">
        <v>1130</v>
      </c>
    </row>
    <row r="1011" spans="2:2" x14ac:dyDescent="0.25">
      <c r="B1011" s="54" t="s">
        <v>1131</v>
      </c>
    </row>
    <row r="1012" spans="2:2" x14ac:dyDescent="0.25">
      <c r="B1012" s="54" t="s">
        <v>1132</v>
      </c>
    </row>
    <row r="1013" spans="2:2" x14ac:dyDescent="0.25">
      <c r="B1013" s="54" t="s">
        <v>1133</v>
      </c>
    </row>
    <row r="1014" spans="2:2" x14ac:dyDescent="0.25">
      <c r="B1014" s="54" t="s">
        <v>1134</v>
      </c>
    </row>
    <row r="1015" spans="2:2" x14ac:dyDescent="0.25">
      <c r="B1015" s="54" t="s">
        <v>1135</v>
      </c>
    </row>
    <row r="1016" spans="2:2" x14ac:dyDescent="0.25">
      <c r="B1016" s="54" t="s">
        <v>1136</v>
      </c>
    </row>
    <row r="1017" spans="2:2" x14ac:dyDescent="0.25">
      <c r="B1017" s="54" t="s">
        <v>1137</v>
      </c>
    </row>
    <row r="1018" spans="2:2" x14ac:dyDescent="0.25">
      <c r="B1018" s="54" t="s">
        <v>1138</v>
      </c>
    </row>
    <row r="1019" spans="2:2" x14ac:dyDescent="0.25">
      <c r="B1019" s="54" t="s">
        <v>1139</v>
      </c>
    </row>
    <row r="1020" spans="2:2" x14ac:dyDescent="0.25">
      <c r="B1020" s="54" t="s">
        <v>1140</v>
      </c>
    </row>
    <row r="1021" spans="2:2" x14ac:dyDescent="0.25">
      <c r="B1021" s="54" t="s">
        <v>1141</v>
      </c>
    </row>
    <row r="1022" spans="2:2" x14ac:dyDescent="0.25">
      <c r="B1022" s="54" t="s">
        <v>1142</v>
      </c>
    </row>
    <row r="1023" spans="2:2" x14ac:dyDescent="0.25">
      <c r="B1023" s="54" t="s">
        <v>1143</v>
      </c>
    </row>
    <row r="1024" spans="2:2" x14ac:dyDescent="0.25">
      <c r="B1024" s="54" t="s">
        <v>1144</v>
      </c>
    </row>
    <row r="1025" spans="2:2" x14ac:dyDescent="0.25">
      <c r="B1025" s="54" t="s">
        <v>1145</v>
      </c>
    </row>
    <row r="1026" spans="2:2" x14ac:dyDescent="0.25">
      <c r="B1026" s="54" t="s">
        <v>1146</v>
      </c>
    </row>
    <row r="1027" spans="2:2" x14ac:dyDescent="0.25">
      <c r="B1027" s="54" t="s">
        <v>1147</v>
      </c>
    </row>
    <row r="1028" spans="2:2" x14ac:dyDescent="0.25">
      <c r="B1028" s="54" t="s">
        <v>1148</v>
      </c>
    </row>
    <row r="1029" spans="2:2" x14ac:dyDescent="0.25">
      <c r="B1029" s="54" t="s">
        <v>1149</v>
      </c>
    </row>
    <row r="1030" spans="2:2" x14ac:dyDescent="0.25">
      <c r="B1030" s="54" t="s">
        <v>1150</v>
      </c>
    </row>
    <row r="1031" spans="2:2" x14ac:dyDescent="0.25">
      <c r="B1031" s="54" t="s">
        <v>1151</v>
      </c>
    </row>
    <row r="1032" spans="2:2" x14ac:dyDescent="0.25">
      <c r="B1032" s="54" t="s">
        <v>1152</v>
      </c>
    </row>
    <row r="1033" spans="2:2" x14ac:dyDescent="0.25">
      <c r="B1033" s="54" t="s">
        <v>1153</v>
      </c>
    </row>
    <row r="1034" spans="2:2" x14ac:dyDescent="0.25">
      <c r="B1034" s="54" t="s">
        <v>1154</v>
      </c>
    </row>
    <row r="1035" spans="2:2" x14ac:dyDescent="0.25">
      <c r="B1035" s="54" t="s">
        <v>1155</v>
      </c>
    </row>
    <row r="1036" spans="2:2" x14ac:dyDescent="0.25">
      <c r="B1036" s="54" t="s">
        <v>1156</v>
      </c>
    </row>
    <row r="1037" spans="2:2" x14ac:dyDescent="0.25">
      <c r="B1037" s="54" t="s">
        <v>1157</v>
      </c>
    </row>
    <row r="1038" spans="2:2" x14ac:dyDescent="0.25">
      <c r="B1038" s="54" t="s">
        <v>1158</v>
      </c>
    </row>
    <row r="1039" spans="2:2" x14ac:dyDescent="0.25">
      <c r="B1039" s="54" t="s">
        <v>1159</v>
      </c>
    </row>
    <row r="1040" spans="2:2" x14ac:dyDescent="0.25">
      <c r="B1040" s="54" t="s">
        <v>1160</v>
      </c>
    </row>
    <row r="1041" spans="2:2" x14ac:dyDescent="0.25">
      <c r="B1041" s="54" t="s">
        <v>1161</v>
      </c>
    </row>
    <row r="1042" spans="2:2" x14ac:dyDescent="0.25">
      <c r="B1042" s="54" t="s">
        <v>1162</v>
      </c>
    </row>
    <row r="1043" spans="2:2" x14ac:dyDescent="0.25">
      <c r="B1043" s="54" t="s">
        <v>1163</v>
      </c>
    </row>
    <row r="1044" spans="2:2" x14ac:dyDescent="0.25">
      <c r="B1044" s="54" t="s">
        <v>1164</v>
      </c>
    </row>
    <row r="1045" spans="2:2" x14ac:dyDescent="0.25">
      <c r="B1045" s="54" t="s">
        <v>1165</v>
      </c>
    </row>
    <row r="1046" spans="2:2" x14ac:dyDescent="0.25">
      <c r="B1046" s="54" t="s">
        <v>1166</v>
      </c>
    </row>
    <row r="1047" spans="2:2" x14ac:dyDescent="0.25">
      <c r="B1047" s="54" t="s">
        <v>1167</v>
      </c>
    </row>
    <row r="1048" spans="2:2" x14ac:dyDescent="0.25">
      <c r="B1048" s="54" t="s">
        <v>1168</v>
      </c>
    </row>
    <row r="1049" spans="2:2" x14ac:dyDescent="0.25">
      <c r="B1049" s="54" t="s">
        <v>1169</v>
      </c>
    </row>
    <row r="1050" spans="2:2" x14ac:dyDescent="0.25">
      <c r="B1050" s="54" t="s">
        <v>1170</v>
      </c>
    </row>
    <row r="1051" spans="2:2" x14ac:dyDescent="0.25">
      <c r="B1051" s="54" t="s">
        <v>1171</v>
      </c>
    </row>
    <row r="1052" spans="2:2" x14ac:dyDescent="0.25">
      <c r="B1052" s="54" t="s">
        <v>1172</v>
      </c>
    </row>
    <row r="1053" spans="2:2" x14ac:dyDescent="0.25">
      <c r="B1053" s="54" t="s">
        <v>1173</v>
      </c>
    </row>
    <row r="1054" spans="2:2" x14ac:dyDescent="0.25">
      <c r="B1054" s="54" t="s">
        <v>1174</v>
      </c>
    </row>
    <row r="1055" spans="2:2" x14ac:dyDescent="0.25">
      <c r="B1055" s="54" t="s">
        <v>1175</v>
      </c>
    </row>
    <row r="1056" spans="2:2" x14ac:dyDescent="0.25">
      <c r="B1056" s="54" t="s">
        <v>1176</v>
      </c>
    </row>
    <row r="1057" spans="2:2" x14ac:dyDescent="0.25">
      <c r="B1057" s="54" t="s">
        <v>1177</v>
      </c>
    </row>
    <row r="1058" spans="2:2" x14ac:dyDescent="0.25">
      <c r="B1058" s="54" t="s">
        <v>1178</v>
      </c>
    </row>
    <row r="1059" spans="2:2" x14ac:dyDescent="0.25">
      <c r="B1059" s="54" t="s">
        <v>1179</v>
      </c>
    </row>
    <row r="1060" spans="2:2" x14ac:dyDescent="0.25">
      <c r="B1060" s="54" t="s">
        <v>1180</v>
      </c>
    </row>
    <row r="1061" spans="2:2" x14ac:dyDescent="0.25">
      <c r="B1061" s="54" t="s">
        <v>1181</v>
      </c>
    </row>
    <row r="1062" spans="2:2" x14ac:dyDescent="0.25">
      <c r="B1062" s="54" t="s">
        <v>1182</v>
      </c>
    </row>
    <row r="1063" spans="2:2" x14ac:dyDescent="0.25">
      <c r="B1063" s="54" t="s">
        <v>1183</v>
      </c>
    </row>
    <row r="1064" spans="2:2" x14ac:dyDescent="0.25">
      <c r="B1064" s="54" t="s">
        <v>1184</v>
      </c>
    </row>
    <row r="1065" spans="2:2" x14ac:dyDescent="0.25">
      <c r="B1065" s="54" t="s">
        <v>1185</v>
      </c>
    </row>
    <row r="1066" spans="2:2" x14ac:dyDescent="0.25">
      <c r="B1066" s="54" t="s">
        <v>1186</v>
      </c>
    </row>
    <row r="1067" spans="2:2" x14ac:dyDescent="0.25">
      <c r="B1067" s="54" t="s">
        <v>1187</v>
      </c>
    </row>
    <row r="1068" spans="2:2" x14ac:dyDescent="0.25">
      <c r="B1068" s="54" t="s">
        <v>1188</v>
      </c>
    </row>
    <row r="1069" spans="2:2" x14ac:dyDescent="0.25">
      <c r="B1069" s="54" t="s">
        <v>1189</v>
      </c>
    </row>
    <row r="1070" spans="2:2" x14ac:dyDescent="0.25">
      <c r="B1070" s="54" t="s">
        <v>1190</v>
      </c>
    </row>
    <row r="1071" spans="2:2" x14ac:dyDescent="0.25">
      <c r="B1071" s="54" t="s">
        <v>1191</v>
      </c>
    </row>
    <row r="1072" spans="2:2" x14ac:dyDescent="0.25">
      <c r="B1072" s="54" t="s">
        <v>1192</v>
      </c>
    </row>
    <row r="1073" spans="2:2" x14ac:dyDescent="0.25">
      <c r="B1073" s="54" t="s">
        <v>1193</v>
      </c>
    </row>
    <row r="1074" spans="2:2" x14ac:dyDescent="0.25">
      <c r="B1074" s="54" t="s">
        <v>1194</v>
      </c>
    </row>
    <row r="1075" spans="2:2" x14ac:dyDescent="0.25">
      <c r="B1075" s="54" t="s">
        <v>1195</v>
      </c>
    </row>
    <row r="1076" spans="2:2" x14ac:dyDescent="0.25">
      <c r="B1076" s="54" t="s">
        <v>1196</v>
      </c>
    </row>
    <row r="1077" spans="2:2" x14ac:dyDescent="0.25">
      <c r="B1077" s="54" t="s">
        <v>1197</v>
      </c>
    </row>
    <row r="1078" spans="2:2" x14ac:dyDescent="0.25">
      <c r="B1078" s="54" t="s">
        <v>1198</v>
      </c>
    </row>
    <row r="1079" spans="2:2" x14ac:dyDescent="0.25">
      <c r="B1079" s="54" t="s">
        <v>1199</v>
      </c>
    </row>
    <row r="1080" spans="2:2" x14ac:dyDescent="0.25">
      <c r="B1080" s="54" t="s">
        <v>1200</v>
      </c>
    </row>
    <row r="1081" spans="2:2" x14ac:dyDescent="0.25">
      <c r="B1081" s="54" t="s">
        <v>1201</v>
      </c>
    </row>
    <row r="1082" spans="2:2" x14ac:dyDescent="0.25">
      <c r="B1082" s="54" t="s">
        <v>1202</v>
      </c>
    </row>
    <row r="1083" spans="2:2" x14ac:dyDescent="0.25">
      <c r="B1083" s="54" t="s">
        <v>1203</v>
      </c>
    </row>
    <row r="1084" spans="2:2" x14ac:dyDescent="0.25">
      <c r="B1084" s="54" t="s">
        <v>1204</v>
      </c>
    </row>
    <row r="1085" spans="2:2" x14ac:dyDescent="0.25">
      <c r="B1085" s="54" t="s">
        <v>1205</v>
      </c>
    </row>
    <row r="1086" spans="2:2" x14ac:dyDescent="0.25">
      <c r="B1086" s="54" t="s">
        <v>1206</v>
      </c>
    </row>
    <row r="1087" spans="2:2" x14ac:dyDescent="0.25">
      <c r="B1087" s="54" t="s">
        <v>1207</v>
      </c>
    </row>
    <row r="1088" spans="2:2" x14ac:dyDescent="0.25">
      <c r="B1088" s="54" t="s">
        <v>1208</v>
      </c>
    </row>
    <row r="1089" spans="2:2" x14ac:dyDescent="0.25">
      <c r="B1089" s="54" t="s">
        <v>1209</v>
      </c>
    </row>
    <row r="1090" spans="2:2" x14ac:dyDescent="0.25">
      <c r="B1090" s="54" t="s">
        <v>1210</v>
      </c>
    </row>
    <row r="1091" spans="2:2" x14ac:dyDescent="0.25">
      <c r="B1091" s="54" t="s">
        <v>1211</v>
      </c>
    </row>
    <row r="1092" spans="2:2" x14ac:dyDescent="0.25">
      <c r="B1092" s="54" t="s">
        <v>1212</v>
      </c>
    </row>
    <row r="1093" spans="2:2" x14ac:dyDescent="0.25">
      <c r="B1093" s="54" t="s">
        <v>1213</v>
      </c>
    </row>
    <row r="1094" spans="2:2" x14ac:dyDescent="0.25">
      <c r="B1094" s="54" t="s">
        <v>1214</v>
      </c>
    </row>
    <row r="1095" spans="2:2" x14ac:dyDescent="0.25">
      <c r="B1095" s="54" t="s">
        <v>1215</v>
      </c>
    </row>
    <row r="1096" spans="2:2" x14ac:dyDescent="0.25">
      <c r="B1096" s="54" t="s">
        <v>1216</v>
      </c>
    </row>
    <row r="1097" spans="2:2" x14ac:dyDescent="0.25">
      <c r="B1097" s="54" t="s">
        <v>1217</v>
      </c>
    </row>
    <row r="1098" spans="2:2" x14ac:dyDescent="0.25">
      <c r="B1098" s="54" t="s">
        <v>1218</v>
      </c>
    </row>
    <row r="1099" spans="2:2" x14ac:dyDescent="0.25">
      <c r="B1099" s="54" t="s">
        <v>1219</v>
      </c>
    </row>
    <row r="1100" spans="2:2" x14ac:dyDescent="0.25">
      <c r="B1100" s="54" t="s">
        <v>1220</v>
      </c>
    </row>
    <row r="1101" spans="2:2" x14ac:dyDescent="0.25">
      <c r="B1101" s="54" t="s">
        <v>1221</v>
      </c>
    </row>
    <row r="1102" spans="2:2" x14ac:dyDescent="0.25">
      <c r="B1102" s="54" t="s">
        <v>1222</v>
      </c>
    </row>
    <row r="1103" spans="2:2" x14ac:dyDescent="0.25">
      <c r="B1103" s="54" t="s">
        <v>1223</v>
      </c>
    </row>
    <row r="1104" spans="2:2" x14ac:dyDescent="0.25">
      <c r="B1104" s="54" t="s">
        <v>1224</v>
      </c>
    </row>
    <row r="1105" spans="2:2" x14ac:dyDescent="0.25">
      <c r="B1105" s="54" t="s">
        <v>1225</v>
      </c>
    </row>
    <row r="1106" spans="2:2" x14ac:dyDescent="0.25">
      <c r="B1106" s="54" t="s">
        <v>1226</v>
      </c>
    </row>
    <row r="1107" spans="2:2" x14ac:dyDescent="0.25">
      <c r="B1107" s="54" t="s">
        <v>1227</v>
      </c>
    </row>
    <row r="1108" spans="2:2" x14ac:dyDescent="0.25">
      <c r="B1108" s="54" t="s">
        <v>1228</v>
      </c>
    </row>
    <row r="1109" spans="2:2" x14ac:dyDescent="0.25">
      <c r="B1109" s="54" t="s">
        <v>1229</v>
      </c>
    </row>
    <row r="1110" spans="2:2" x14ac:dyDescent="0.25">
      <c r="B1110" s="54" t="s">
        <v>1230</v>
      </c>
    </row>
    <row r="1111" spans="2:2" x14ac:dyDescent="0.25">
      <c r="B1111" s="54" t="s">
        <v>1231</v>
      </c>
    </row>
    <row r="1112" spans="2:2" x14ac:dyDescent="0.25">
      <c r="B1112" s="54" t="s">
        <v>1232</v>
      </c>
    </row>
    <row r="1113" spans="2:2" x14ac:dyDescent="0.25">
      <c r="B1113" s="54" t="s">
        <v>1233</v>
      </c>
    </row>
    <row r="1114" spans="2:2" x14ac:dyDescent="0.25">
      <c r="B1114" s="54" t="s">
        <v>1234</v>
      </c>
    </row>
    <row r="1115" spans="2:2" x14ac:dyDescent="0.25">
      <c r="B1115" s="54" t="s">
        <v>1235</v>
      </c>
    </row>
    <row r="1116" spans="2:2" x14ac:dyDescent="0.25">
      <c r="B1116" s="54" t="s">
        <v>1236</v>
      </c>
    </row>
    <row r="1117" spans="2:2" x14ac:dyDescent="0.25">
      <c r="B1117" s="54" t="s">
        <v>1237</v>
      </c>
    </row>
    <row r="1118" spans="2:2" x14ac:dyDescent="0.25">
      <c r="B1118" s="54" t="s">
        <v>1238</v>
      </c>
    </row>
    <row r="1119" spans="2:2" x14ac:dyDescent="0.25">
      <c r="B1119" s="54" t="s">
        <v>1239</v>
      </c>
    </row>
    <row r="1120" spans="2:2" x14ac:dyDescent="0.25">
      <c r="B1120" s="54" t="s">
        <v>1240</v>
      </c>
    </row>
    <row r="1121" spans="2:2" x14ac:dyDescent="0.25">
      <c r="B1121" s="54" t="s">
        <v>1241</v>
      </c>
    </row>
    <row r="1122" spans="2:2" x14ac:dyDescent="0.25">
      <c r="B1122" s="54" t="s">
        <v>1242</v>
      </c>
    </row>
    <row r="1123" spans="2:2" x14ac:dyDescent="0.25">
      <c r="B1123" s="54" t="s">
        <v>1243</v>
      </c>
    </row>
    <row r="1124" spans="2:2" x14ac:dyDescent="0.25">
      <c r="B1124" s="54" t="s">
        <v>1244</v>
      </c>
    </row>
    <row r="1125" spans="2:2" x14ac:dyDescent="0.25">
      <c r="B1125" s="54" t="s">
        <v>1245</v>
      </c>
    </row>
    <row r="1126" spans="2:2" x14ac:dyDescent="0.25">
      <c r="B1126" s="54" t="s">
        <v>1246</v>
      </c>
    </row>
    <row r="1127" spans="2:2" x14ac:dyDescent="0.25">
      <c r="B1127" s="54" t="s">
        <v>1247</v>
      </c>
    </row>
    <row r="1128" spans="2:2" x14ac:dyDescent="0.25">
      <c r="B1128" s="54" t="s">
        <v>1248</v>
      </c>
    </row>
    <row r="1129" spans="2:2" x14ac:dyDescent="0.25">
      <c r="B1129" s="54" t="s">
        <v>1249</v>
      </c>
    </row>
    <row r="1130" spans="2:2" x14ac:dyDescent="0.25">
      <c r="B1130" s="54" t="s">
        <v>1250</v>
      </c>
    </row>
    <row r="1131" spans="2:2" x14ac:dyDescent="0.25">
      <c r="B1131" s="54" t="s">
        <v>1251</v>
      </c>
    </row>
    <row r="1132" spans="2:2" x14ac:dyDescent="0.25">
      <c r="B1132" s="54" t="s">
        <v>1252</v>
      </c>
    </row>
    <row r="1133" spans="2:2" x14ac:dyDescent="0.25">
      <c r="B1133" s="54" t="s">
        <v>1253</v>
      </c>
    </row>
    <row r="1134" spans="2:2" x14ac:dyDescent="0.25">
      <c r="B1134" s="54" t="s">
        <v>1254</v>
      </c>
    </row>
    <row r="1135" spans="2:2" x14ac:dyDescent="0.25">
      <c r="B1135" s="54" t="s">
        <v>1255</v>
      </c>
    </row>
    <row r="1136" spans="2:2" x14ac:dyDescent="0.25">
      <c r="B1136" s="54" t="s">
        <v>1256</v>
      </c>
    </row>
    <row r="1137" spans="2:2" x14ac:dyDescent="0.25">
      <c r="B1137" s="54" t="s">
        <v>1257</v>
      </c>
    </row>
    <row r="1138" spans="2:2" x14ac:dyDescent="0.25">
      <c r="B1138" s="54" t="s">
        <v>1258</v>
      </c>
    </row>
    <row r="1139" spans="2:2" x14ac:dyDescent="0.25">
      <c r="B1139" s="54" t="s">
        <v>1259</v>
      </c>
    </row>
    <row r="1140" spans="2:2" x14ac:dyDescent="0.25">
      <c r="B1140" s="54" t="s">
        <v>1260</v>
      </c>
    </row>
    <row r="1141" spans="2:2" x14ac:dyDescent="0.25">
      <c r="B1141" s="54" t="s">
        <v>1261</v>
      </c>
    </row>
    <row r="1142" spans="2:2" x14ac:dyDescent="0.25">
      <c r="B1142" s="54" t="s">
        <v>1262</v>
      </c>
    </row>
    <row r="1143" spans="2:2" x14ac:dyDescent="0.25">
      <c r="B1143" s="54" t="s">
        <v>1263</v>
      </c>
    </row>
    <row r="1144" spans="2:2" x14ac:dyDescent="0.25">
      <c r="B1144" s="54" t="s">
        <v>1264</v>
      </c>
    </row>
    <row r="1145" spans="2:2" x14ac:dyDescent="0.25">
      <c r="B1145" s="54" t="s">
        <v>1265</v>
      </c>
    </row>
    <row r="1146" spans="2:2" x14ac:dyDescent="0.25">
      <c r="B1146" s="54" t="s">
        <v>1266</v>
      </c>
    </row>
    <row r="1147" spans="2:2" x14ac:dyDescent="0.25">
      <c r="B1147" s="54" t="s">
        <v>1267</v>
      </c>
    </row>
    <row r="1148" spans="2:2" x14ac:dyDescent="0.25">
      <c r="B1148" s="54" t="s">
        <v>1268</v>
      </c>
    </row>
    <row r="1149" spans="2:2" x14ac:dyDescent="0.25">
      <c r="B1149" s="54" t="s">
        <v>1269</v>
      </c>
    </row>
    <row r="1150" spans="2:2" x14ac:dyDescent="0.25">
      <c r="B1150" s="54" t="s">
        <v>1270</v>
      </c>
    </row>
    <row r="1151" spans="2:2" x14ac:dyDescent="0.25">
      <c r="B1151" s="54" t="s">
        <v>1271</v>
      </c>
    </row>
    <row r="1152" spans="2:2" x14ac:dyDescent="0.25">
      <c r="B1152" s="54" t="s">
        <v>1272</v>
      </c>
    </row>
    <row r="1153" spans="2:2" x14ac:dyDescent="0.25">
      <c r="B1153" s="54" t="s">
        <v>1273</v>
      </c>
    </row>
  </sheetData>
  <pageMargins left="0.7" right="0.7" top="0.75" bottom="0.75" header="0.3" footer="0.3"/>
  <customProperties>
    <customPr name="CafeStyleVersion" r:id="rId1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D1669-A3D2-4156-A642-D757A7D3F1D2}">
  <sheetPr codeName="Feuil2"/>
  <dimension ref="B3:E30"/>
  <sheetViews>
    <sheetView showGridLines="0" tabSelected="1" workbookViewId="0"/>
  </sheetViews>
  <sheetFormatPr baseColWidth="10" defaultRowHeight="15" x14ac:dyDescent="0.25"/>
  <cols>
    <col min="1" max="1" width="6.5703125" customWidth="1"/>
    <col min="3" max="3" width="13.5703125" bestFit="1" customWidth="1"/>
    <col min="4" max="4" width="63.7109375" customWidth="1"/>
  </cols>
  <sheetData>
    <row r="3" spans="2:5" ht="15.75" thickBot="1" x14ac:dyDescent="0.3"/>
    <row r="4" spans="2:5" x14ac:dyDescent="0.25">
      <c r="B4" s="66"/>
      <c r="C4" s="67"/>
      <c r="D4" s="67"/>
      <c r="E4" s="68"/>
    </row>
    <row r="5" spans="2:5" x14ac:dyDescent="0.25">
      <c r="B5" s="69"/>
      <c r="C5" s="79" t="s">
        <v>1275</v>
      </c>
      <c r="D5" s="75" t="str" cm="1">
        <f t="array" ref="D5">_xll.SUBNM("COALLIA:Periode",,1)</f>
        <v>2023</v>
      </c>
      <c r="E5" s="71"/>
    </row>
    <row r="6" spans="2:5" x14ac:dyDescent="0.25">
      <c r="B6" s="69"/>
      <c r="C6" s="79"/>
      <c r="D6" s="70"/>
      <c r="E6" s="71"/>
    </row>
    <row r="7" spans="2:5" x14ac:dyDescent="0.25">
      <c r="B7" s="69"/>
      <c r="C7" s="79" t="s">
        <v>1276</v>
      </c>
      <c r="D7" s="75" t="str" cm="1">
        <f t="array" ref="D7">_xll.SUBNM("COALLIA:Centre_Profit","Niveau0","C509")</f>
        <v>C509</v>
      </c>
      <c r="E7" s="71"/>
    </row>
    <row r="8" spans="2:5" x14ac:dyDescent="0.25">
      <c r="B8" s="69"/>
      <c r="C8" s="79"/>
      <c r="D8" s="70"/>
      <c r="E8" s="71"/>
    </row>
    <row r="9" spans="2:5" x14ac:dyDescent="0.25">
      <c r="B9" s="69"/>
      <c r="C9" s="79" t="s">
        <v>1277</v>
      </c>
      <c r="D9" s="75" t="str" cm="1">
        <f t="array" ref="D9">_xll.SUBNM("COALLIA:Indicateur",,1,"Libelle")</f>
        <v>Montant</v>
      </c>
      <c r="E9" s="71"/>
    </row>
    <row r="10" spans="2:5" x14ac:dyDescent="0.25">
      <c r="B10" s="69"/>
      <c r="C10" s="70"/>
      <c r="D10" s="70"/>
      <c r="E10" s="71"/>
    </row>
    <row r="11" spans="2:5" ht="15.75" thickBot="1" x14ac:dyDescent="0.3">
      <c r="B11" s="72"/>
      <c r="C11" s="73"/>
      <c r="D11" s="73"/>
      <c r="E11" s="74"/>
    </row>
    <row r="12" spans="2:5" x14ac:dyDescent="0.25">
      <c r="B12" s="70"/>
      <c r="C12" s="70"/>
      <c r="D12" s="70"/>
      <c r="E12" s="70"/>
    </row>
    <row r="13" spans="2:5" x14ac:dyDescent="0.25">
      <c r="B13" s="70"/>
      <c r="C13" s="70"/>
      <c r="D13" s="70"/>
      <c r="E13" s="70"/>
    </row>
    <row r="14" spans="2:5" x14ac:dyDescent="0.25">
      <c r="B14" s="70"/>
      <c r="C14" s="70"/>
      <c r="D14" s="70"/>
      <c r="E14" s="70"/>
    </row>
    <row r="15" spans="2:5" x14ac:dyDescent="0.25">
      <c r="B15" s="70"/>
      <c r="C15" s="70"/>
      <c r="D15" s="70"/>
      <c r="E15" s="70"/>
    </row>
    <row r="16" spans="2:5" ht="15.75" thickBot="1" x14ac:dyDescent="0.3"/>
    <row r="17" spans="2:5" x14ac:dyDescent="0.25">
      <c r="B17" s="78" t="s">
        <v>1280</v>
      </c>
      <c r="C17" s="67"/>
      <c r="D17" s="67"/>
      <c r="E17" s="68"/>
    </row>
    <row r="18" spans="2:5" x14ac:dyDescent="0.25">
      <c r="B18" s="69"/>
      <c r="C18" s="77" t="s">
        <v>1278</v>
      </c>
      <c r="D18" s="70"/>
      <c r="E18" s="71"/>
    </row>
    <row r="19" spans="2:5" x14ac:dyDescent="0.25">
      <c r="B19" s="69"/>
      <c r="C19" s="70"/>
      <c r="D19" s="70"/>
      <c r="E19" s="71"/>
    </row>
    <row r="20" spans="2:5" x14ac:dyDescent="0.25">
      <c r="B20" s="69"/>
      <c r="C20" s="70"/>
      <c r="D20" s="70"/>
      <c r="E20" s="71"/>
    </row>
    <row r="21" spans="2:5" x14ac:dyDescent="0.25">
      <c r="B21" s="69"/>
      <c r="C21" s="70"/>
      <c r="D21" s="70"/>
      <c r="E21" s="71"/>
    </row>
    <row r="22" spans="2:5" x14ac:dyDescent="0.25">
      <c r="B22" s="69"/>
      <c r="C22" s="70"/>
      <c r="D22" s="70"/>
      <c r="E22" s="71"/>
    </row>
    <row r="23" spans="2:5" x14ac:dyDescent="0.25">
      <c r="B23" s="69"/>
      <c r="C23" s="70"/>
      <c r="D23" s="70"/>
      <c r="E23" s="71"/>
    </row>
    <row r="24" spans="2:5" x14ac:dyDescent="0.25">
      <c r="B24" s="69"/>
      <c r="C24" s="70"/>
      <c r="D24" s="70"/>
      <c r="E24" s="71"/>
    </row>
    <row r="25" spans="2:5" x14ac:dyDescent="0.25">
      <c r="B25" s="69"/>
      <c r="C25" s="70"/>
      <c r="D25" s="70"/>
      <c r="E25" s="71"/>
    </row>
    <row r="26" spans="2:5" x14ac:dyDescent="0.25">
      <c r="B26" s="69"/>
      <c r="C26" s="70"/>
      <c r="D26" s="70"/>
      <c r="E26" s="71"/>
    </row>
    <row r="27" spans="2:5" x14ac:dyDescent="0.25">
      <c r="B27" s="69"/>
      <c r="C27" s="70"/>
      <c r="D27" s="70"/>
      <c r="E27" s="71"/>
    </row>
    <row r="28" spans="2:5" x14ac:dyDescent="0.25">
      <c r="B28" s="69"/>
      <c r="C28" s="70"/>
      <c r="D28" s="70"/>
      <c r="E28" s="71"/>
    </row>
    <row r="29" spans="2:5" x14ac:dyDescent="0.25">
      <c r="B29" s="69"/>
      <c r="C29" s="70"/>
      <c r="D29" s="70"/>
      <c r="E29" s="71"/>
    </row>
    <row r="30" spans="2:5" ht="15.75" thickBot="1" x14ac:dyDescent="0.3">
      <c r="B30" s="72"/>
      <c r="C30" s="73"/>
      <c r="D30" s="73"/>
      <c r="E30" s="74"/>
    </row>
  </sheetData>
  <hyperlinks>
    <hyperlink ref="C18" location="CRF!A1" display="01 - CRF" xr:uid="{D577BAD2-ACA1-4CF1-90AA-30C8321C63D3}"/>
  </hyperlinks>
  <pageMargins left="0.7" right="0.7" top="0.75" bottom="0.75" header="0.3" footer="0.3"/>
  <customProperties>
    <customPr name="TM1Actions" r:id="rId1"/>
  </customPropertie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FDB68-73CA-4822-A4B7-AED64D28A931}">
  <sheetPr codeName="Feuil3">
    <tabColor theme="0"/>
  </sheetPr>
  <dimension ref="A1:P64"/>
  <sheetViews>
    <sheetView showGridLines="0" zoomScale="95" zoomScaleNormal="145" workbookViewId="0"/>
  </sheetViews>
  <sheetFormatPr baseColWidth="10" defaultColWidth="11.42578125" defaultRowHeight="15" x14ac:dyDescent="0.25"/>
  <cols>
    <col min="2" max="2" width="4" customWidth="1"/>
    <col min="3" max="3" width="32.85546875" style="1" bestFit="1" customWidth="1"/>
    <col min="4" max="4" width="17" style="1" customWidth="1"/>
    <col min="5" max="5" width="11.42578125" style="1" customWidth="1"/>
    <col min="6" max="6" width="8" style="1" customWidth="1"/>
    <col min="7" max="7" width="41.42578125" style="1" bestFit="1" customWidth="1"/>
    <col min="8" max="8" width="17.140625" style="1" customWidth="1"/>
    <col min="9" max="10" width="10.85546875" style="1" customWidth="1"/>
    <col min="11" max="11" width="3.85546875" customWidth="1"/>
    <col min="15" max="15" width="12.42578125" bestFit="1" customWidth="1"/>
  </cols>
  <sheetData>
    <row r="1" spans="1:16" ht="15.75" thickBot="1" x14ac:dyDescent="0.3"/>
    <row r="2" spans="1:16" x14ac:dyDescent="0.25">
      <c r="A2" s="76" t="s">
        <v>1279</v>
      </c>
      <c r="C2" s="42"/>
      <c r="D2" s="43"/>
      <c r="E2" s="43"/>
      <c r="F2" s="43"/>
      <c r="G2" s="43"/>
      <c r="H2" s="43"/>
      <c r="I2" s="43"/>
      <c r="J2" s="44"/>
    </row>
    <row r="3" spans="1:16" x14ac:dyDescent="0.25">
      <c r="C3" s="45" t="s">
        <v>99</v>
      </c>
      <c r="D3" s="52" t="str">
        <f>xCentre_Profit</f>
        <v>C509</v>
      </c>
      <c r="F3" s="1" t="s">
        <v>100</v>
      </c>
      <c r="G3" s="52" t="str">
        <f>LEFT(xPeriode,4)</f>
        <v>2023</v>
      </c>
      <c r="H3" s="1" t="s">
        <v>101</v>
      </c>
      <c r="I3" s="1" t="str">
        <f>xPeriode</f>
        <v>2023</v>
      </c>
      <c r="J3" s="46"/>
    </row>
    <row r="4" spans="1:16" ht="15.75" thickBot="1" x14ac:dyDescent="0.3">
      <c r="C4" s="53" t="s">
        <v>102</v>
      </c>
      <c r="D4" s="50"/>
      <c r="E4" s="50"/>
      <c r="F4" s="50" t="s">
        <v>103</v>
      </c>
      <c r="G4" s="48"/>
      <c r="H4" s="50" t="s">
        <v>103</v>
      </c>
      <c r="I4" s="47"/>
      <c r="J4" s="49"/>
    </row>
    <row r="5" spans="1:16" x14ac:dyDescent="0.25">
      <c r="C5" s="35"/>
      <c r="D5" s="2"/>
    </row>
    <row r="6" spans="1:16" ht="60" x14ac:dyDescent="0.25">
      <c r="C6" s="60" t="s">
        <v>104</v>
      </c>
      <c r="D6" s="60"/>
      <c r="E6" s="60"/>
      <c r="F6" s="60"/>
      <c r="G6" s="60"/>
      <c r="H6" s="60"/>
      <c r="I6" s="60"/>
      <c r="J6" s="60"/>
    </row>
    <row r="7" spans="1:16" x14ac:dyDescent="0.25">
      <c r="C7" s="61" t="s">
        <v>105</v>
      </c>
      <c r="D7" s="61"/>
      <c r="E7" s="61"/>
      <c r="F7" s="61"/>
      <c r="G7" s="61"/>
      <c r="H7" s="61"/>
      <c r="I7" s="61"/>
      <c r="J7" s="61"/>
    </row>
    <row r="8" spans="1:16" x14ac:dyDescent="0.25">
      <c r="C8" s="62">
        <v>2023</v>
      </c>
      <c r="D8" s="62"/>
      <c r="E8" s="62"/>
      <c r="F8" s="62"/>
      <c r="G8" s="62"/>
      <c r="H8" s="62"/>
      <c r="I8" s="62"/>
      <c r="J8" s="62"/>
    </row>
    <row r="9" spans="1:16" x14ac:dyDescent="0.25">
      <c r="C9" s="36" t="s">
        <v>106</v>
      </c>
      <c r="D9" s="3" t="s">
        <v>107</v>
      </c>
      <c r="E9" s="3" t="s">
        <v>108</v>
      </c>
      <c r="F9" s="4" t="s">
        <v>109</v>
      </c>
      <c r="G9" s="3" t="s">
        <v>110</v>
      </c>
      <c r="H9" s="3" t="s">
        <v>107</v>
      </c>
      <c r="I9" s="3" t="s">
        <v>108</v>
      </c>
      <c r="J9" s="5" t="s">
        <v>109</v>
      </c>
    </row>
    <row r="10" spans="1:16" x14ac:dyDescent="0.25">
      <c r="C10" s="63" t="s">
        <v>2</v>
      </c>
      <c r="D10" s="64"/>
      <c r="E10" s="65"/>
      <c r="F10" s="7"/>
      <c r="G10" s="63" t="s">
        <v>77</v>
      </c>
      <c r="H10" s="64"/>
      <c r="I10" s="65"/>
      <c r="J10" s="8"/>
    </row>
    <row r="11" spans="1:16" x14ac:dyDescent="0.25">
      <c r="C11" s="37"/>
      <c r="D11" s="9"/>
      <c r="E11" s="10"/>
      <c r="F11" s="15" t="str">
        <f>IFERROR((E11/D11)-1,"")</f>
        <v/>
      </c>
      <c r="G11" s="6"/>
      <c r="H11" s="9"/>
      <c r="I11" s="10"/>
      <c r="J11" s="8"/>
      <c r="N11" s="55" t="s">
        <v>44</v>
      </c>
      <c r="O11" s="56" cm="1">
        <f t="array" ref="O11">_xll.DBRW("COALLIA:FIN_Reel_Prototype","R",xPeriode,xCentre_Profit,"CRF_170",xIndicateur)</f>
        <v>-29592.372150000007</v>
      </c>
      <c r="P11" t="s">
        <v>122</v>
      </c>
    </row>
    <row r="12" spans="1:16" x14ac:dyDescent="0.25">
      <c r="C12" s="37"/>
      <c r="D12" s="11" t="s">
        <v>111</v>
      </c>
      <c r="E12" s="12" t="s">
        <v>112</v>
      </c>
      <c r="F12" s="15" t="str">
        <f t="shared" ref="F12:F50" si="0">IFERROR((E12/D12)-1,"")</f>
        <v/>
      </c>
      <c r="G12" s="6"/>
      <c r="H12" s="11" t="s">
        <v>111</v>
      </c>
      <c r="I12" s="12" t="s">
        <v>112</v>
      </c>
      <c r="J12" s="8"/>
      <c r="P12" s="54" t="s">
        <v>123</v>
      </c>
    </row>
    <row r="13" spans="1:16" x14ac:dyDescent="0.25">
      <c r="C13" s="37"/>
      <c r="D13" s="9"/>
      <c r="E13" s="10"/>
      <c r="F13" s="15" t="str">
        <f t="shared" si="0"/>
        <v/>
      </c>
      <c r="G13" s="6"/>
      <c r="H13" s="9"/>
      <c r="I13" s="10"/>
      <c r="J13" s="8"/>
    </row>
    <row r="14" spans="1:16" x14ac:dyDescent="0.25">
      <c r="A14" t="s">
        <v>3</v>
      </c>
      <c r="C14" s="38" t="s">
        <v>4</v>
      </c>
      <c r="D14" s="14">
        <f>SUM(D15:D17)</f>
        <v>0</v>
      </c>
      <c r="E14" s="14" cm="1">
        <f t="array" ref="E14">_xll.DBRW("COALLIA:FIN_Reel_Prototype","R",xPeriode,xCentre_Profit,A14,xIndicateur)</f>
        <v>-168500.43999999997</v>
      </c>
      <c r="F14" s="15" t="str">
        <f t="shared" si="0"/>
        <v/>
      </c>
      <c r="G14" s="34" t="s">
        <v>78</v>
      </c>
      <c r="H14" s="14"/>
      <c r="I14" s="18" cm="1">
        <f t="array" ref="I14">_xll.DBRW("COALLIA:FIN_Reel_Prototype","R",xPeriode,xCentre_Profit,L14,xIndicateur)</f>
        <v>0</v>
      </c>
      <c r="J14" s="15" t="str">
        <f>IFERROR((I14/H14)-1,"")</f>
        <v/>
      </c>
      <c r="L14" t="s">
        <v>81</v>
      </c>
    </row>
    <row r="15" spans="1:16" x14ac:dyDescent="0.25">
      <c r="A15" t="s">
        <v>5</v>
      </c>
      <c r="C15" s="8" t="s">
        <v>6</v>
      </c>
      <c r="D15" s="18"/>
      <c r="E15" s="18" cm="1">
        <f t="array" ref="E15">_xll.DBRW("COALLIA:FIN_Reel_Prototype","R",xPeriode,xCentre_Profit,A15,xIndicateur)</f>
        <v>-5680</v>
      </c>
      <c r="F15" s="15" t="str">
        <f t="shared" si="0"/>
        <v/>
      </c>
      <c r="G15" s="17"/>
      <c r="H15" s="18"/>
      <c r="I15" s="18"/>
      <c r="J15" s="15" t="str">
        <f t="shared" ref="J15:J53" si="1">IFERROR((I15/H15)-1,"")</f>
        <v/>
      </c>
      <c r="L15" t="s">
        <v>113</v>
      </c>
    </row>
    <row r="16" spans="1:16" x14ac:dyDescent="0.25">
      <c r="A16" t="s">
        <v>7</v>
      </c>
      <c r="C16" s="8" t="s">
        <v>8</v>
      </c>
      <c r="D16" s="18"/>
      <c r="E16" s="18" cm="1">
        <f t="array" ref="E16">_xll.DBRW("COALLIA:FIN_Reel_Prototype","R",xPeriode,xCentre_Profit,A16,xIndicateur)</f>
        <v>-162820.43999999997</v>
      </c>
      <c r="F16" s="15" t="str">
        <f t="shared" si="0"/>
        <v/>
      </c>
      <c r="G16" s="16" t="s">
        <v>80</v>
      </c>
      <c r="H16" s="14"/>
      <c r="I16" s="18" cm="1">
        <f t="array" ref="I16">_xll.DBRW("COALLIA:FIN_Reel_Prototype","R",xPeriode,xCentre_Profit,L16,xIndicateur)</f>
        <v>567635.50214999996</v>
      </c>
      <c r="J16" s="15" t="str">
        <f t="shared" si="1"/>
        <v/>
      </c>
      <c r="L16" t="s">
        <v>83</v>
      </c>
    </row>
    <row r="17" spans="1:10" x14ac:dyDescent="0.25">
      <c r="A17" t="s">
        <v>9</v>
      </c>
      <c r="C17" s="8" t="s">
        <v>10</v>
      </c>
      <c r="D17" s="18"/>
      <c r="E17" s="18" cm="1">
        <f t="array" ref="E17">_xll.DBRW("COALLIA:FIN_Reel_Prototype","R",xPeriode,xCentre_Profit,A17,xIndicateur)</f>
        <v>0</v>
      </c>
      <c r="F17" s="15" t="str">
        <f t="shared" si="0"/>
        <v/>
      </c>
      <c r="G17" s="17"/>
      <c r="H17" s="18"/>
      <c r="I17" s="18"/>
      <c r="J17" s="15" t="str">
        <f t="shared" si="1"/>
        <v/>
      </c>
    </row>
    <row r="18" spans="1:10" x14ac:dyDescent="0.25">
      <c r="A18" t="s">
        <v>11</v>
      </c>
      <c r="C18" s="34" t="s">
        <v>12</v>
      </c>
      <c r="D18" s="20">
        <f>SUM(D19:D24)</f>
        <v>0</v>
      </c>
      <c r="E18" s="14" cm="1">
        <f t="array" ref="E18">_xll.DBRW("COALLIA:FIN_Reel_Prototype","R",xPeriode,xCentre_Profit,A18,xIndicateur)</f>
        <v>-335278.07999999996</v>
      </c>
      <c r="F18" s="15" t="str">
        <f t="shared" si="0"/>
        <v/>
      </c>
      <c r="G18" s="17"/>
      <c r="H18" s="18"/>
      <c r="I18" s="18"/>
      <c r="J18" s="15" t="str">
        <f t="shared" si="1"/>
        <v/>
      </c>
    </row>
    <row r="19" spans="1:10" x14ac:dyDescent="0.25">
      <c r="A19" t="s">
        <v>13</v>
      </c>
      <c r="C19" s="8" t="s">
        <v>14</v>
      </c>
      <c r="D19" s="18"/>
      <c r="E19" s="18" cm="1">
        <f t="array" ref="E19">_xll.DBRW("COALLIA:FIN_Reel_Prototype","R",xPeriode,xCentre_Profit,A19,xIndicateur)</f>
        <v>-327243.48</v>
      </c>
      <c r="F19" s="15" t="str">
        <f t="shared" si="0"/>
        <v/>
      </c>
      <c r="G19" s="17"/>
      <c r="H19" s="18"/>
      <c r="I19" s="18"/>
      <c r="J19" s="15" t="str">
        <f t="shared" si="1"/>
        <v/>
      </c>
    </row>
    <row r="20" spans="1:10" x14ac:dyDescent="0.25">
      <c r="A20" t="s">
        <v>15</v>
      </c>
      <c r="C20" s="8" t="s">
        <v>16</v>
      </c>
      <c r="D20" s="18"/>
      <c r="E20" s="18" cm="1">
        <f t="array" ref="E20">_xll.DBRW("COALLIA:FIN_Reel_Prototype","R",xPeriode,xCentre_Profit,A20,xIndicateur)</f>
        <v>-2905.21</v>
      </c>
      <c r="F20" s="15" t="str">
        <f t="shared" si="0"/>
        <v/>
      </c>
      <c r="G20" s="17"/>
      <c r="H20" s="18"/>
      <c r="I20" s="18"/>
      <c r="J20" s="15" t="str">
        <f t="shared" si="1"/>
        <v/>
      </c>
    </row>
    <row r="21" spans="1:10" x14ac:dyDescent="0.25">
      <c r="A21" t="s">
        <v>17</v>
      </c>
      <c r="C21" s="8" t="s">
        <v>18</v>
      </c>
      <c r="D21" s="18"/>
      <c r="E21" s="18" cm="1">
        <f t="array" ref="E21">_xll.DBRW("COALLIA:FIN_Reel_Prototype","R",xPeriode,xCentre_Profit,A21,xIndicateur)</f>
        <v>-2268.0699999999997</v>
      </c>
      <c r="F21" s="15" t="str">
        <f t="shared" si="0"/>
        <v/>
      </c>
      <c r="G21" s="17"/>
      <c r="H21" s="18"/>
      <c r="I21" s="18"/>
      <c r="J21" s="15" t="str">
        <f t="shared" si="1"/>
        <v/>
      </c>
    </row>
    <row r="22" spans="1:10" x14ac:dyDescent="0.25">
      <c r="A22" t="s">
        <v>19</v>
      </c>
      <c r="C22" s="8" t="s">
        <v>20</v>
      </c>
      <c r="D22" s="18"/>
      <c r="E22" s="18" cm="1">
        <f t="array" ref="E22">_xll.DBRW("COALLIA:FIN_Reel_Prototype","R",xPeriode,xCentre_Profit,A22,xIndicateur)</f>
        <v>-2861.3199999999997</v>
      </c>
      <c r="F22" s="15" t="str">
        <f t="shared" si="0"/>
        <v/>
      </c>
      <c r="G22" s="17"/>
      <c r="H22" s="18"/>
      <c r="I22" s="18"/>
      <c r="J22" s="15" t="str">
        <f t="shared" si="1"/>
        <v/>
      </c>
    </row>
    <row r="23" spans="1:10" x14ac:dyDescent="0.25">
      <c r="A23" t="s">
        <v>21</v>
      </c>
      <c r="C23" s="8" t="s">
        <v>22</v>
      </c>
      <c r="D23" s="18"/>
      <c r="E23" s="18" cm="1">
        <f t="array" ref="E23">_xll.DBRW("COALLIA:FIN_Reel_Prototype","R",xPeriode,xCentre_Profit,A23,xIndicateur)</f>
        <v>0</v>
      </c>
      <c r="F23" s="15" t="str">
        <f t="shared" si="0"/>
        <v/>
      </c>
      <c r="G23" s="17"/>
      <c r="H23" s="18"/>
      <c r="I23" s="18"/>
      <c r="J23" s="15" t="str">
        <f t="shared" si="1"/>
        <v/>
      </c>
    </row>
    <row r="24" spans="1:10" x14ac:dyDescent="0.25">
      <c r="A24" t="s">
        <v>23</v>
      </c>
      <c r="C24" s="8" t="s">
        <v>24</v>
      </c>
      <c r="D24" s="18"/>
      <c r="E24" s="18" cm="1">
        <f t="array" ref="E24">_xll.DBRW("COALLIA:FIN_Reel_Prototype","R",xPeriode,xCentre_Profit,A24,xIndicateur)</f>
        <v>0</v>
      </c>
      <c r="F24" s="15" t="str">
        <f t="shared" si="0"/>
        <v/>
      </c>
      <c r="G24" s="17"/>
      <c r="H24" s="18"/>
      <c r="I24" s="18"/>
      <c r="J24" s="15" t="str">
        <f t="shared" si="1"/>
        <v/>
      </c>
    </row>
    <row r="25" spans="1:10" x14ac:dyDescent="0.25">
      <c r="A25" t="s">
        <v>25</v>
      </c>
      <c r="C25" s="34" t="s">
        <v>26</v>
      </c>
      <c r="D25" s="20">
        <f>SUM(D26:D30)</f>
        <v>0</v>
      </c>
      <c r="E25" s="14" cm="1">
        <f t="array" ref="E25">_xll.DBRW("COALLIA:FIN_Reel_Prototype","R",xPeriode,xCentre_Profit,A25,xIndicateur)</f>
        <v>-2491.83</v>
      </c>
      <c r="F25" s="15" t="str">
        <f t="shared" si="0"/>
        <v/>
      </c>
      <c r="G25" s="17"/>
      <c r="H25" s="18"/>
      <c r="I25" s="18"/>
      <c r="J25" s="15" t="str">
        <f t="shared" si="1"/>
        <v/>
      </c>
    </row>
    <row r="26" spans="1:10" x14ac:dyDescent="0.25">
      <c r="A26" t="s">
        <v>27</v>
      </c>
      <c r="C26" s="39" t="s">
        <v>28</v>
      </c>
      <c r="D26" s="18"/>
      <c r="E26" s="18" cm="1">
        <f t="array" ref="E26">_xll.DBRW("COALLIA:FIN_Reel_Prototype","R",xPeriode,xCentre_Profit,A26,xIndicateur)</f>
        <v>-427.49</v>
      </c>
      <c r="F26" s="15" t="str">
        <f t="shared" si="0"/>
        <v/>
      </c>
      <c r="G26" s="17"/>
      <c r="H26" s="18"/>
      <c r="I26" s="18"/>
      <c r="J26" s="15" t="str">
        <f t="shared" si="1"/>
        <v/>
      </c>
    </row>
    <row r="27" spans="1:10" x14ac:dyDescent="0.25">
      <c r="A27" t="s">
        <v>29</v>
      </c>
      <c r="C27" s="8" t="s">
        <v>30</v>
      </c>
      <c r="D27" s="18"/>
      <c r="E27" s="18" cm="1">
        <f t="array" ref="E27">_xll.DBRW("COALLIA:FIN_Reel_Prototype","R",xPeriode,xCentre_Profit,A27,xIndicateur)</f>
        <v>-370</v>
      </c>
      <c r="F27" s="15" t="str">
        <f t="shared" si="0"/>
        <v/>
      </c>
      <c r="G27" s="17"/>
      <c r="H27" s="18"/>
      <c r="I27" s="18"/>
      <c r="J27" s="15" t="str">
        <f t="shared" si="1"/>
        <v/>
      </c>
    </row>
    <row r="28" spans="1:10" x14ac:dyDescent="0.25">
      <c r="A28" t="s">
        <v>31</v>
      </c>
      <c r="C28" s="8" t="s">
        <v>32</v>
      </c>
      <c r="D28" s="18"/>
      <c r="E28" s="18" cm="1">
        <f t="array" ref="E28">_xll.DBRW("COALLIA:FIN_Reel_Prototype","R",xPeriode,xCentre_Profit,A28,xIndicateur)</f>
        <v>-357.65</v>
      </c>
      <c r="F28" s="15" t="str">
        <f t="shared" si="0"/>
        <v/>
      </c>
      <c r="G28" s="17"/>
      <c r="H28" s="18"/>
      <c r="I28" s="18"/>
      <c r="J28" s="15" t="str">
        <f t="shared" si="1"/>
        <v/>
      </c>
    </row>
    <row r="29" spans="1:10" x14ac:dyDescent="0.25">
      <c r="A29" t="s">
        <v>33</v>
      </c>
      <c r="C29" s="8" t="s">
        <v>34</v>
      </c>
      <c r="D29" s="18"/>
      <c r="E29" s="18" cm="1">
        <f t="array" ref="E29">_xll.DBRW("COALLIA:FIN_Reel_Prototype","R",xPeriode,xCentre_Profit,A29,xIndicateur)</f>
        <v>-695.13</v>
      </c>
      <c r="F29" s="15" t="str">
        <f t="shared" si="0"/>
        <v/>
      </c>
      <c r="G29" s="17"/>
      <c r="H29" s="18"/>
      <c r="I29" s="18"/>
      <c r="J29" s="15" t="str">
        <f t="shared" si="1"/>
        <v/>
      </c>
    </row>
    <row r="30" spans="1:10" x14ac:dyDescent="0.25">
      <c r="A30" t="s">
        <v>35</v>
      </c>
      <c r="C30" s="8" t="s">
        <v>36</v>
      </c>
      <c r="D30" s="18"/>
      <c r="E30" s="18" cm="1">
        <f t="array" ref="E30">_xll.DBRW("COALLIA:FIN_Reel_Prototype","R",xPeriode,xCentre_Profit,A30,xIndicateur)</f>
        <v>-641.55999999999995</v>
      </c>
      <c r="F30" s="15" t="str">
        <f t="shared" si="0"/>
        <v/>
      </c>
      <c r="G30" s="17"/>
      <c r="H30" s="18"/>
      <c r="I30" s="18"/>
      <c r="J30" s="15" t="str">
        <f t="shared" si="1"/>
        <v/>
      </c>
    </row>
    <row r="31" spans="1:10" x14ac:dyDescent="0.25">
      <c r="A31" t="s">
        <v>37</v>
      </c>
      <c r="C31" s="34" t="s">
        <v>38</v>
      </c>
      <c r="D31" s="20">
        <f>SUM(D32:D33)</f>
        <v>0</v>
      </c>
      <c r="E31" s="14" cm="1">
        <f t="array" ref="E31">_xll.DBRW("COALLIA:FIN_Reel_Prototype","R",xPeriode,xCentre_Profit,A31,xIndicateur)</f>
        <v>-29592.372150000007</v>
      </c>
      <c r="F31" s="51" t="str">
        <f t="shared" si="0"/>
        <v/>
      </c>
      <c r="G31" s="17"/>
      <c r="H31" s="18"/>
      <c r="I31" s="18"/>
      <c r="J31" s="15" t="str">
        <f t="shared" si="1"/>
        <v/>
      </c>
    </row>
    <row r="32" spans="1:10" x14ac:dyDescent="0.25">
      <c r="A32" t="s">
        <v>39</v>
      </c>
      <c r="C32" s="8" t="s">
        <v>40</v>
      </c>
      <c r="D32" s="18"/>
      <c r="E32" s="18" cm="1">
        <f t="array" ref="E32">_xll.DBRW("COALLIA:FIN_Reel_Prototype","R",xPeriode,xCentre_Profit,A32,xIndicateur)</f>
        <v>0</v>
      </c>
      <c r="F32" s="15" t="str">
        <f t="shared" si="0"/>
        <v/>
      </c>
      <c r="G32" s="17"/>
      <c r="H32" s="18"/>
      <c r="I32" s="18"/>
      <c r="J32" s="15" t="str">
        <f t="shared" si="1"/>
        <v/>
      </c>
    </row>
    <row r="33" spans="1:12" x14ac:dyDescent="0.25">
      <c r="A33" t="s">
        <v>41</v>
      </c>
      <c r="C33" s="8" t="s">
        <v>42</v>
      </c>
      <c r="D33" s="18"/>
      <c r="E33" s="18" cm="1">
        <f t="array" ref="E33">_xll.DBRW("COALLIA:FIN_Reel_Prototype","R",xPeriode,xCentre_Profit,A33,xIndicateur)</f>
        <v>0</v>
      </c>
      <c r="F33" s="15" t="str">
        <f t="shared" si="0"/>
        <v/>
      </c>
      <c r="G33" s="17"/>
      <c r="H33" s="18"/>
      <c r="I33" s="18"/>
      <c r="J33" s="15" t="str">
        <f t="shared" si="1"/>
        <v/>
      </c>
    </row>
    <row r="34" spans="1:12" x14ac:dyDescent="0.25">
      <c r="A34" t="s">
        <v>43</v>
      </c>
      <c r="C34" s="40" t="s">
        <v>44</v>
      </c>
      <c r="D34" s="18"/>
      <c r="E34" s="18" cm="1">
        <f t="array" ref="E34">_xll.DBRW("COALLIA:FIN_Reel_Prototype","R",xPeriode,xCentre_Profit,A34,xIndicateur)</f>
        <v>-29592.372150000007</v>
      </c>
      <c r="F34" s="15" t="str">
        <f t="shared" si="0"/>
        <v/>
      </c>
      <c r="G34" s="22"/>
      <c r="H34" s="18"/>
      <c r="I34" s="18"/>
      <c r="J34" s="15" t="str">
        <f t="shared" si="1"/>
        <v/>
      </c>
    </row>
    <row r="35" spans="1:12" x14ac:dyDescent="0.25">
      <c r="A35" t="s">
        <v>45</v>
      </c>
      <c r="C35" s="34" t="s">
        <v>46</v>
      </c>
      <c r="D35" s="20">
        <f>SUM(D36:D38)</f>
        <v>0</v>
      </c>
      <c r="E35" s="14" cm="1">
        <f t="array" ref="E35">_xll.DBRW("COALLIA:FIN_Reel_Prototype","R",xPeriode,xCentre_Profit,A35,xIndicateur)</f>
        <v>-255838.21999999997</v>
      </c>
      <c r="F35" s="15" t="str">
        <f t="shared" si="0"/>
        <v/>
      </c>
      <c r="G35" s="17"/>
      <c r="H35" s="18"/>
      <c r="I35" s="18"/>
      <c r="J35" s="15" t="str">
        <f t="shared" si="1"/>
        <v/>
      </c>
    </row>
    <row r="36" spans="1:12" x14ac:dyDescent="0.25">
      <c r="A36" t="s">
        <v>47</v>
      </c>
      <c r="C36" s="8" t="s">
        <v>48</v>
      </c>
      <c r="D36" s="18"/>
      <c r="E36" s="18" cm="1">
        <f t="array" ref="E36">_xll.DBRW("COALLIA:FIN_Reel_Prototype","R",xPeriode,xCentre_Profit,A36,xIndicateur)</f>
        <v>-190195.13000000003</v>
      </c>
      <c r="F36" s="15" t="str">
        <f t="shared" si="0"/>
        <v/>
      </c>
      <c r="G36" s="17"/>
      <c r="H36" s="18"/>
      <c r="I36" s="18"/>
      <c r="J36" s="15" t="str">
        <f t="shared" si="1"/>
        <v/>
      </c>
    </row>
    <row r="37" spans="1:12" x14ac:dyDescent="0.25">
      <c r="A37" t="s">
        <v>49</v>
      </c>
      <c r="C37" s="8" t="s">
        <v>50</v>
      </c>
      <c r="D37" s="18"/>
      <c r="E37" s="18" cm="1">
        <f t="array" ref="E37">_xll.DBRW("COALLIA:FIN_Reel_Prototype","R",xPeriode,xCentre_Profit,A37,xIndicateur)</f>
        <v>-71179.41</v>
      </c>
      <c r="F37" s="15" t="str">
        <f t="shared" si="0"/>
        <v/>
      </c>
      <c r="G37" s="17"/>
      <c r="H37" s="18"/>
      <c r="I37" s="18"/>
      <c r="J37" s="15" t="str">
        <f t="shared" si="1"/>
        <v/>
      </c>
    </row>
    <row r="38" spans="1:12" x14ac:dyDescent="0.25">
      <c r="A38" t="s">
        <v>51</v>
      </c>
      <c r="C38" s="8" t="s">
        <v>52</v>
      </c>
      <c r="D38" s="18"/>
      <c r="E38" s="18" cm="1">
        <f t="array" ref="E38">_xll.DBRW("COALLIA:FIN_Reel_Prototype","R",xPeriode,xCentre_Profit,A38,xIndicateur)</f>
        <v>5536.32</v>
      </c>
      <c r="F38" s="15" t="str">
        <f t="shared" si="0"/>
        <v/>
      </c>
      <c r="G38" s="17"/>
      <c r="H38" s="18"/>
      <c r="I38" s="18"/>
      <c r="J38" s="15" t="str">
        <f t="shared" si="1"/>
        <v/>
      </c>
    </row>
    <row r="39" spans="1:12" x14ac:dyDescent="0.25">
      <c r="A39" t="s">
        <v>54</v>
      </c>
      <c r="C39" s="38" t="s">
        <v>53</v>
      </c>
      <c r="D39" s="14"/>
      <c r="E39" s="18" cm="1">
        <f t="array" ref="E39">_xll.DBRW("COALLIA:FIN_Reel_Prototype","R",xPeriode,xCentre_Profit,A39,xIndicateur)</f>
        <v>-37978.020000000004</v>
      </c>
      <c r="F39" s="23" t="str">
        <f t="shared" si="0"/>
        <v/>
      </c>
      <c r="G39" s="16" t="s">
        <v>82</v>
      </c>
      <c r="H39" s="20"/>
      <c r="I39" s="18" cm="1">
        <f t="array" ref="I39">_xll.DBRW("COALLIA:FIN_Reel_Prototype","R",xPeriode,xCentre_Profit,L39,xIndicateur)</f>
        <v>4501.05</v>
      </c>
      <c r="J39" s="15" t="str">
        <f t="shared" si="1"/>
        <v/>
      </c>
      <c r="L39" t="s">
        <v>85</v>
      </c>
    </row>
    <row r="40" spans="1:12" x14ac:dyDescent="0.25">
      <c r="A40" t="s">
        <v>56</v>
      </c>
      <c r="C40" s="34" t="s">
        <v>55</v>
      </c>
      <c r="D40" s="20"/>
      <c r="E40" s="18" cm="1">
        <f t="array" ref="E40">_xll.DBRW("COALLIA:FIN_Reel_Prototype","R",xPeriode,xCentre_Profit,A40,xIndicateur)</f>
        <v>0</v>
      </c>
      <c r="F40" s="23"/>
      <c r="G40" s="16" t="s">
        <v>84</v>
      </c>
      <c r="H40" s="20"/>
      <c r="I40" s="18" cm="1">
        <f t="array" ref="I40">_xll.DBRW("COALLIA:FIN_Reel_Prototype","R",xPeriode,xCentre_Profit,L40,xIndicateur)</f>
        <v>0</v>
      </c>
      <c r="J40" s="15" t="str">
        <f t="shared" si="1"/>
        <v/>
      </c>
      <c r="L40" t="s">
        <v>87</v>
      </c>
    </row>
    <row r="41" spans="1:12" x14ac:dyDescent="0.25">
      <c r="A41" t="s">
        <v>58</v>
      </c>
      <c r="C41" s="34" t="s">
        <v>57</v>
      </c>
      <c r="D41" s="20"/>
      <c r="E41" s="18" cm="1">
        <f t="array" ref="E41">_xll.DBRW("COALLIA:FIN_Reel_Prototype","R",xPeriode,xCentre_Profit,A41,xIndicateur)</f>
        <v>0</v>
      </c>
      <c r="F41" s="23" t="str">
        <f t="shared" si="0"/>
        <v/>
      </c>
      <c r="G41" s="16" t="s">
        <v>86</v>
      </c>
      <c r="H41" s="20"/>
      <c r="I41" s="18" cm="1">
        <f t="array" ref="I41">_xll.DBRW("COALLIA:FIN_Reel_Prototype","R",xPeriode,xCentre_Profit,L41,xIndicateur)</f>
        <v>0</v>
      </c>
      <c r="J41" s="15" t="str">
        <f t="shared" si="1"/>
        <v/>
      </c>
      <c r="L41" t="s">
        <v>89</v>
      </c>
    </row>
    <row r="42" spans="1:12" x14ac:dyDescent="0.25">
      <c r="A42" t="s">
        <v>60</v>
      </c>
      <c r="C42" s="38" t="s">
        <v>59</v>
      </c>
      <c r="D42" s="14"/>
      <c r="E42" s="18" cm="1">
        <f t="array" ref="E42">_xll.DBRW("COALLIA:FIN_Reel_Prototype","R",xPeriode,xCentre_Profit,A42,xIndicateur)</f>
        <v>-10468.660000000002</v>
      </c>
      <c r="F42" s="23" t="str">
        <f t="shared" si="0"/>
        <v/>
      </c>
      <c r="G42" s="13" t="s">
        <v>88</v>
      </c>
      <c r="H42" s="14"/>
      <c r="I42" s="18" cm="1">
        <f t="array" ref="I42">_xll.DBRW("COALLIA:FIN_Reel_Prototype","R",xPeriode,xCentre_Profit,L42,xIndicateur)</f>
        <v>395.35</v>
      </c>
      <c r="J42" s="23" t="str">
        <f t="shared" si="1"/>
        <v/>
      </c>
      <c r="L42" t="s">
        <v>93</v>
      </c>
    </row>
    <row r="43" spans="1:12" x14ac:dyDescent="0.25">
      <c r="C43" s="38"/>
      <c r="D43" s="14"/>
      <c r="E43" s="14"/>
      <c r="F43" s="15" t="str">
        <f t="shared" si="0"/>
        <v/>
      </c>
      <c r="G43" s="13"/>
      <c r="H43" s="14"/>
      <c r="I43" s="14"/>
      <c r="J43" s="23"/>
    </row>
    <row r="44" spans="1:12" x14ac:dyDescent="0.25">
      <c r="C44" s="57" t="s">
        <v>61</v>
      </c>
      <c r="D44" s="58"/>
      <c r="E44" s="59"/>
      <c r="F44" s="15" t="str">
        <f t="shared" si="0"/>
        <v/>
      </c>
      <c r="G44" s="57" t="s">
        <v>90</v>
      </c>
      <c r="H44" s="58"/>
      <c r="I44" s="59"/>
      <c r="J44" s="15" t="str">
        <f t="shared" si="1"/>
        <v/>
      </c>
    </row>
    <row r="45" spans="1:12" x14ac:dyDescent="0.25">
      <c r="A45" t="s">
        <v>63</v>
      </c>
      <c r="C45" s="38" t="s">
        <v>62</v>
      </c>
      <c r="D45" s="19"/>
      <c r="E45" s="18" cm="1">
        <f t="array" ref="E45">_xll.DBRW("COALLIA:FIN_Reel_Prototype","R",xPeriode,xCentre_Profit,A45,xIndicateur)</f>
        <v>0</v>
      </c>
      <c r="F45" s="15" t="str">
        <f t="shared" si="0"/>
        <v/>
      </c>
      <c r="G45" s="21"/>
      <c r="H45" s="19"/>
      <c r="I45" s="19"/>
      <c r="J45" s="23" t="str">
        <f t="shared" si="1"/>
        <v/>
      </c>
    </row>
    <row r="46" spans="1:12" x14ac:dyDescent="0.25">
      <c r="A46" t="s">
        <v>65</v>
      </c>
      <c r="C46" s="34" t="s">
        <v>64</v>
      </c>
      <c r="D46" s="18"/>
      <c r="E46" s="18" cm="1">
        <f t="array" ref="E46">_xll.DBRW("COALLIA:FIN_Reel_Prototype","R",xPeriode,xCentre_Profit,A46,xIndicateur)</f>
        <v>0</v>
      </c>
      <c r="F46" s="15" t="str">
        <f t="shared" si="0"/>
        <v/>
      </c>
      <c r="G46" s="17"/>
      <c r="H46" s="18"/>
      <c r="I46" s="18"/>
      <c r="J46" s="15" t="str">
        <f t="shared" si="1"/>
        <v/>
      </c>
    </row>
    <row r="47" spans="1:12" x14ac:dyDescent="0.25">
      <c r="A47" t="s">
        <v>69</v>
      </c>
      <c r="C47" s="34" t="s">
        <v>66</v>
      </c>
      <c r="D47" s="18"/>
      <c r="E47" s="18" cm="1">
        <f t="array" ref="E47">_xll.DBRW("COALLIA:FIN_Reel_Prototype","R",xPeriode,xCentre_Profit,A47,xIndicateur)</f>
        <v>0</v>
      </c>
      <c r="F47" s="15" t="str">
        <f t="shared" si="0"/>
        <v/>
      </c>
      <c r="G47" s="17"/>
      <c r="H47" s="18"/>
      <c r="I47" s="18"/>
      <c r="J47" s="15" t="str">
        <f t="shared" si="1"/>
        <v/>
      </c>
    </row>
    <row r="48" spans="1:12" x14ac:dyDescent="0.25">
      <c r="A48" t="s">
        <v>1</v>
      </c>
      <c r="C48" s="41" t="s">
        <v>114</v>
      </c>
      <c r="D48" s="25">
        <f>+D47+D46+D45+D42+D41+D40+D39+D35+D31+D25+D18+D14</f>
        <v>0</v>
      </c>
      <c r="E48" s="25" cm="1">
        <f t="array" ref="E48">_xll.DBRW("COALLIA:FIN_Reel_Prototype","R",xPeriode,xCentre_Profit,A48,xIndicateur)</f>
        <v>-840147.6221499996</v>
      </c>
      <c r="F48" s="15" t="str">
        <f t="shared" si="0"/>
        <v/>
      </c>
      <c r="G48" s="24" t="s">
        <v>115</v>
      </c>
      <c r="H48" s="25">
        <f>+H47+H46+H45+H42+H41+H40+H39+H16+H14+H43</f>
        <v>0</v>
      </c>
      <c r="I48" s="25">
        <f>+I47+I46+I45+I42+I41+I40+I39+I16+I14+I43</f>
        <v>572531.90214999998</v>
      </c>
      <c r="J48" s="15" t="str">
        <f t="shared" si="1"/>
        <v/>
      </c>
      <c r="L48" t="s">
        <v>76</v>
      </c>
    </row>
    <row r="49" spans="1:12" x14ac:dyDescent="0.25">
      <c r="A49" t="s">
        <v>67</v>
      </c>
      <c r="C49" s="34" t="s">
        <v>68</v>
      </c>
      <c r="D49" s="20">
        <f>SUM(D50:D52)</f>
        <v>0</v>
      </c>
      <c r="E49" s="20" cm="1">
        <f t="array" ref="E49">_xll.DBRW("COALLIA:FIN_Reel_Prototype","R",xPeriode,xCentre_Profit,A49,xIndicateur)</f>
        <v>0</v>
      </c>
      <c r="F49" s="15" t="str">
        <f t="shared" si="0"/>
        <v/>
      </c>
      <c r="G49" s="16" t="s">
        <v>92</v>
      </c>
      <c r="H49" s="18">
        <f>SUM(H50:H52)</f>
        <v>0</v>
      </c>
      <c r="I49" s="18"/>
      <c r="J49" s="15" t="str">
        <f t="shared" si="1"/>
        <v/>
      </c>
      <c r="L49" t="s">
        <v>91</v>
      </c>
    </row>
    <row r="50" spans="1:12" x14ac:dyDescent="0.25">
      <c r="A50" t="s">
        <v>71</v>
      </c>
      <c r="C50" s="28" t="s">
        <v>70</v>
      </c>
      <c r="D50" s="27"/>
      <c r="E50" s="18" cm="1">
        <f t="array" ref="E50">_xll.DBRW("COALLIA:FIN_Reel_Prototype","R",xPeriode,xCentre_Profit,A50,xIndicateur)</f>
        <v>0</v>
      </c>
      <c r="F50" s="15" t="str">
        <f t="shared" si="0"/>
        <v/>
      </c>
      <c r="G50" s="26" t="s">
        <v>94</v>
      </c>
      <c r="H50" s="27"/>
      <c r="I50" s="18" cm="1">
        <f t="array" ref="I50">_xll.DBRW("COALLIA:FIN_Reel_Prototype","R",xPeriode,xCentre_Profit,L50,xIndicateur)</f>
        <v>0</v>
      </c>
      <c r="J50" s="15" t="str">
        <f t="shared" si="1"/>
        <v/>
      </c>
      <c r="L50" t="s">
        <v>95</v>
      </c>
    </row>
    <row r="51" spans="1:12" x14ac:dyDescent="0.25">
      <c r="A51" t="s">
        <v>73</v>
      </c>
      <c r="C51" s="28" t="s">
        <v>72</v>
      </c>
      <c r="D51" s="29"/>
      <c r="E51" s="18" cm="1">
        <f t="array" ref="E51">_xll.DBRW("COALLIA:FIN_Reel_Prototype","R",xPeriode,xCentre_Profit,A51,xIndicateur)</f>
        <v>0</v>
      </c>
      <c r="F51" s="15"/>
      <c r="G51" s="28" t="s">
        <v>96</v>
      </c>
      <c r="H51" s="29"/>
      <c r="I51" s="18" cm="1">
        <f t="array" ref="I51">_xll.DBRW("COALLIA:FIN_Reel_Prototype","R",xPeriode,xCentre_Profit,L51,xIndicateur)</f>
        <v>0</v>
      </c>
      <c r="J51" s="15" t="str">
        <f t="shared" si="1"/>
        <v/>
      </c>
      <c r="L51" t="s">
        <v>97</v>
      </c>
    </row>
    <row r="52" spans="1:12" x14ac:dyDescent="0.25">
      <c r="A52" t="s">
        <v>79</v>
      </c>
      <c r="C52" s="28" t="s">
        <v>74</v>
      </c>
      <c r="D52" s="29"/>
      <c r="E52" s="18" cm="1">
        <f t="array" ref="E52">_xll.DBRW("COALLIA:FIN_Reel_Prototype","R",xPeriode,xCentre_Profit,A52,xIndicateur)</f>
        <v>0</v>
      </c>
      <c r="F52" s="15"/>
      <c r="G52" s="28" t="s">
        <v>98</v>
      </c>
      <c r="H52" s="29"/>
      <c r="I52" s="18" t="e" cm="1">
        <f t="array" ref="I52">_xll.DBRW("COALLIA:FIN_Reel_Prototype","R",xPeriode,xCentre_Profit,L52,xIndicateur)</f>
        <v>#NUM!</v>
      </c>
      <c r="J52" s="15" t="str">
        <f t="shared" si="1"/>
        <v/>
      </c>
      <c r="L52" t="s">
        <v>116</v>
      </c>
    </row>
    <row r="53" spans="1:12" x14ac:dyDescent="0.25">
      <c r="A53" t="s">
        <v>0</v>
      </c>
      <c r="C53" s="30" t="s">
        <v>117</v>
      </c>
      <c r="D53" s="20">
        <f>+D48+D49</f>
        <v>0</v>
      </c>
      <c r="E53" s="20">
        <f>+E48+E49</f>
        <v>-840147.6221499996</v>
      </c>
      <c r="F53" s="15" t="s">
        <v>113</v>
      </c>
      <c r="G53" s="30" t="s">
        <v>117</v>
      </c>
      <c r="H53" s="31">
        <f>+H48+H49</f>
        <v>0</v>
      </c>
      <c r="I53" s="31">
        <f>+I48+I49</f>
        <v>572531.90214999998</v>
      </c>
      <c r="J53" s="15" t="str">
        <f t="shared" si="1"/>
        <v/>
      </c>
      <c r="L53" t="s">
        <v>75</v>
      </c>
    </row>
    <row r="54" spans="1:12" x14ac:dyDescent="0.25">
      <c r="C54" s="30" t="s">
        <v>118</v>
      </c>
      <c r="D54" s="20"/>
      <c r="E54" s="20">
        <f>IF((I53-E53)&lt;0,0,(I53-E53))*0</f>
        <v>0</v>
      </c>
      <c r="F54" s="15"/>
      <c r="G54" s="30" t="s">
        <v>119</v>
      </c>
      <c r="H54" s="31"/>
      <c r="I54" s="31">
        <f>IF((I53-E53)&lt;0,((I53-E53)*-1),0)*0</f>
        <v>0</v>
      </c>
      <c r="J54" s="15"/>
    </row>
    <row r="55" spans="1:12" x14ac:dyDescent="0.25">
      <c r="I55" s="32"/>
    </row>
    <row r="56" spans="1:12" x14ac:dyDescent="0.25">
      <c r="E56" s="33"/>
      <c r="H56" s="33"/>
    </row>
    <row r="57" spans="1:12" x14ac:dyDescent="0.25">
      <c r="D57" s="33"/>
      <c r="E57" s="33"/>
    </row>
    <row r="58" spans="1:12" x14ac:dyDescent="0.25">
      <c r="G58" s="33"/>
      <c r="H58" s="33"/>
    </row>
    <row r="64" spans="1:12" x14ac:dyDescent="0.25">
      <c r="G64" s="33"/>
    </row>
  </sheetData>
  <mergeCells count="7">
    <mergeCell ref="C44:E44"/>
    <mergeCell ref="G44:I44"/>
    <mergeCell ref="C6:J6"/>
    <mergeCell ref="C7:J7"/>
    <mergeCell ref="C8:J8"/>
    <mergeCell ref="C10:E10"/>
    <mergeCell ref="G10:I10"/>
  </mergeCells>
  <dataValidations count="1">
    <dataValidation type="list" allowBlank="1" showInputMessage="1" showErrorMessage="1" sqref="C3 H3 F3" xr:uid="{C0DA0E57-4FB8-49C6-B86C-0E9DD95A6FA4}">
      <formula1>"..."</formula1>
    </dataValidation>
  </dataValidations>
  <hyperlinks>
    <hyperlink ref="A2" location="xPeriode" display="Home" xr:uid="{169F58B8-31E9-47A9-8923-01C6E262EAFB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157F5C1331F2F408E6872E20C11D136" ma:contentTypeVersion="8" ma:contentTypeDescription="Crée un document." ma:contentTypeScope="" ma:versionID="4ec0dcc4db45a3336167dd4faadd71bf">
  <xsd:schema xmlns:xsd="http://www.w3.org/2001/XMLSchema" xmlns:xs="http://www.w3.org/2001/XMLSchema" xmlns:p="http://schemas.microsoft.com/office/2006/metadata/properties" xmlns:ns2="3ccc82b3-4f00-45d2-8114-9308d7c30275" targetNamespace="http://schemas.microsoft.com/office/2006/metadata/properties" ma:root="true" ma:fieldsID="5797a0c04a8d31ed2f078671ae447d45" ns2:_="">
    <xsd:import namespace="3ccc82b3-4f00-45d2-8114-9308d7c3027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ccc82b3-4f00-45d2-8114-9308d7c3027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DB49578-FAE7-4459-955A-1E3ED3C59171}">
  <ds:schemaRefs>
    <ds:schemaRef ds:uri="http://schemas.microsoft.com/office/2006/metadata/properties"/>
    <ds:schemaRef ds:uri="3ccc82b3-4f00-45d2-8114-9308d7c30275"/>
    <ds:schemaRef ds:uri="http://purl.org/dc/elements/1.1/"/>
    <ds:schemaRef ds:uri="http://schemas.openxmlformats.org/package/2006/metadata/core-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A54D8741-D87C-4711-8CB3-9D550E1E27F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ED7986E-E9D3-43BE-96D7-6B4BD7A2E9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ccc82b3-4f00-45d2-8114-9308d7c302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</vt:i4>
      </vt:variant>
    </vt:vector>
  </HeadingPairs>
  <TitlesOfParts>
    <vt:vector size="5" baseType="lpstr">
      <vt:lpstr>Accueil</vt:lpstr>
      <vt:lpstr>CRF</vt:lpstr>
      <vt:lpstr>xCentre_Profit</vt:lpstr>
      <vt:lpstr>xIndicateur</vt:lpstr>
      <vt:lpstr>xPeriode</vt:lpstr>
    </vt:vector>
  </TitlesOfParts>
  <Manager/>
  <Company>Grant Thornton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Romain Richard</dc:creator>
  <cp:keywords/>
  <dc:description/>
  <cp:lastModifiedBy>Fabien Sans</cp:lastModifiedBy>
  <cp:revision/>
  <dcterms:created xsi:type="dcterms:W3CDTF">2025-01-23T14:02:27Z</dcterms:created>
  <dcterms:modified xsi:type="dcterms:W3CDTF">2025-02-07T14:03:47Z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0x0101005157F5C1331F2F408E6872E20C11D136</vt:lpwstr>
  </property>
  <property fmtid="{D5CDD505-2E9C-101B-9397-08002B2CF9AE}" pid="3" name="MSIP_Label_72db4a9e-ca0d-4be2-b834-9c0c12cfa0eb_Enabled">
    <vt:lpwstr>true</vt:lpwstr>
  </property>
  <property fmtid="{D5CDD505-2E9C-101B-9397-08002B2CF9AE}" pid="4" name="MSIP_Label_72db4a9e-ca0d-4be2-b834-9c0c12cfa0eb_SetDate">
    <vt:lpwstr>2025-02-01T14:01:50Z</vt:lpwstr>
  </property>
  <property fmtid="{D5CDD505-2E9C-101B-9397-08002B2CF9AE}" pid="5" name="MSIP_Label_72db4a9e-ca0d-4be2-b834-9c0c12cfa0eb_Method">
    <vt:lpwstr>Standard</vt:lpwstr>
  </property>
  <property fmtid="{D5CDD505-2E9C-101B-9397-08002B2CF9AE}" pid="6" name="MSIP_Label_72db4a9e-ca0d-4be2-b834-9c0c12cfa0eb_Name">
    <vt:lpwstr>defa4170-0d19-0005-0004-bc88714345d2</vt:lpwstr>
  </property>
  <property fmtid="{D5CDD505-2E9C-101B-9397-08002B2CF9AE}" pid="7" name="MSIP_Label_72db4a9e-ca0d-4be2-b834-9c0c12cfa0eb_SiteId">
    <vt:lpwstr>46e421ad-bbd9-4fae-8d7d-aad8830601f0</vt:lpwstr>
  </property>
  <property fmtid="{D5CDD505-2E9C-101B-9397-08002B2CF9AE}" pid="8" name="MSIP_Label_72db4a9e-ca0d-4be2-b834-9c0c12cfa0eb_ActionId">
    <vt:lpwstr>376d1c55-f276-404a-8236-4bc8797c34fb</vt:lpwstr>
  </property>
  <property fmtid="{D5CDD505-2E9C-101B-9397-08002B2CF9AE}" pid="9" name="MSIP_Label_72db4a9e-ca0d-4be2-b834-9c0c12cfa0eb_ContentBits">
    <vt:lpwstr>0</vt:lpwstr>
  </property>
  <property fmtid="{D5CDD505-2E9C-101B-9397-08002B2CF9AE}" pid="10" name="MSIP_Label_72db4a9e-ca0d-4be2-b834-9c0c12cfa0eb_Tag">
    <vt:lpwstr>10, 3, 0, 2</vt:lpwstr>
  </property>
</Properties>
</file>